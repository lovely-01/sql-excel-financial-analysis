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Lovely\OneDrive\Desktop\study\skiils\Excel\"/>
    </mc:Choice>
  </mc:AlternateContent>
  <xr:revisionPtr revIDLastSave="0" documentId="8_{4AE046C6-2C20-4DC6-9092-99F2515CD902}" xr6:coauthVersionLast="47" xr6:coauthVersionMax="47" xr10:uidLastSave="{00000000-0000-0000-0000-000000000000}"/>
  <bookViews>
    <workbookView xWindow="-110" yWindow="-110" windowWidth="19420" windowHeight="10300" xr2:uid="{E5659FEB-C6C4-4AB1-BB5D-455DC5558759}"/>
  </bookViews>
  <sheets>
    <sheet name="companies" sheetId="4" r:id="rId1"/>
    <sheet name="financials" sheetId="5" r:id="rId2"/>
    <sheet name="dept_expenses" sheetId="7" r:id="rId3"/>
    <sheet name="departments" sheetId="6" r:id="rId4"/>
    <sheet name="pivots" sheetId="9" r:id="rId5"/>
  </sheets>
  <definedNames>
    <definedName name="_xlcn.WorksheetConnection_sql_excel_financial_analysis.xlsxTable11" hidden="1">financials[]</definedName>
    <definedName name="_xlcn.WorksheetConnection_sql_excel_financial_analysis.xlsxTable21" hidden="1">companies[]</definedName>
    <definedName name="Slicer_company_name">#N/A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ql_excel_financial_analysis.xlsx!Table1"/>
          <x15:modelTable id="Table2" name="Table2" connection="WorksheetConnection_sql_excel_financial_analysis.xlsx!Table2"/>
        </x15:modelTables>
      </x15:dataModel>
    </ext>
  </extLst>
</workbook>
</file>

<file path=xl/calcChain.xml><?xml version="1.0" encoding="utf-8"?>
<calcChain xmlns="http://schemas.openxmlformats.org/spreadsheetml/2006/main">
  <c r="H2" i="7" l="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G3" i="5"/>
  <c r="G2"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20B2C0-792A-40FE-A4F2-6E3EAA9DA3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1B63F1-CCAA-4D00-8443-32E85C6D72B9}" name="WorksheetConnection_sql_excel_financial_analysis.xlsx!Table1" type="102" refreshedVersion="8" minRefreshableVersion="5">
    <extLst>
      <ext xmlns:x15="http://schemas.microsoft.com/office/spreadsheetml/2010/11/main" uri="{DE250136-89BD-433C-8126-D09CA5730AF9}">
        <x15:connection id="Table1">
          <x15:rangePr sourceName="_xlcn.WorksheetConnection_sql_excel_financial_analysis.xlsxTable11"/>
        </x15:connection>
      </ext>
    </extLst>
  </connection>
  <connection id="3" xr16:uid="{D4E5C8DC-D738-4D9C-BF42-5E5F295E7518}" name="WorksheetConnection_sql_excel_financial_analysis.xlsx!Table2" type="102" refreshedVersion="8" minRefreshableVersion="5">
    <extLst>
      <ext xmlns:x15="http://schemas.microsoft.com/office/spreadsheetml/2010/11/main" uri="{DE250136-89BD-433C-8126-D09CA5730AF9}">
        <x15:connection id="Table2">
          <x15:rangePr sourceName="_xlcn.WorksheetConnection_sql_excel_financial_analysis.xlsxTable21"/>
        </x15:connection>
      </ext>
    </extLst>
  </connection>
</connections>
</file>

<file path=xl/sharedStrings.xml><?xml version="1.0" encoding="utf-8"?>
<sst xmlns="http://schemas.openxmlformats.org/spreadsheetml/2006/main" count="72" uniqueCount="34">
  <si>
    <t>TCS</t>
  </si>
  <si>
    <t>HDFC Bank</t>
  </si>
  <si>
    <t>ITC</t>
  </si>
  <si>
    <t>Byjus</t>
  </si>
  <si>
    <t>Infosys</t>
  </si>
  <si>
    <t>company_name</t>
  </si>
  <si>
    <t>year</t>
  </si>
  <si>
    <t>profit</t>
  </si>
  <si>
    <t>Audit</t>
  </si>
  <si>
    <t>Sales</t>
  </si>
  <si>
    <t>HR</t>
  </si>
  <si>
    <t>IT</t>
  </si>
  <si>
    <t>Finance</t>
  </si>
  <si>
    <t>FMCG</t>
  </si>
  <si>
    <t>EdTech</t>
  </si>
  <si>
    <t>company_id</t>
  </si>
  <si>
    <t>industry</t>
  </si>
  <si>
    <t>quarter</t>
  </si>
  <si>
    <t>expense</t>
  </si>
  <si>
    <t>Tax</t>
  </si>
  <si>
    <t>dept_id</t>
  </si>
  <si>
    <t>dept_name</t>
  </si>
  <si>
    <t>expense_amt</t>
  </si>
  <si>
    <t>revenue</t>
  </si>
  <si>
    <t>year_quarter</t>
  </si>
  <si>
    <t>Row Labels</t>
  </si>
  <si>
    <t>Grand Total</t>
  </si>
  <si>
    <t>Column Labels</t>
  </si>
  <si>
    <t>Sum of profit</t>
  </si>
  <si>
    <t>Sum of expense</t>
  </si>
  <si>
    <t>Sum of revenue</t>
  </si>
  <si>
    <t>Sum of cost_efficiency</t>
  </si>
  <si>
    <t>Sum of expense_amt</t>
  </si>
  <si>
    <r>
      <rPr>
        <b/>
        <sz val="11"/>
        <color theme="1"/>
        <rFont val="Calibri"/>
        <family val="2"/>
        <scheme val="minor"/>
      </rPr>
      <t>profit</t>
    </r>
    <r>
      <rPr>
        <b/>
        <sz val="11"/>
        <color theme="1"/>
        <rFont val="Calibri"/>
        <family val="2"/>
        <scheme val="minor"/>
      </rPr>
      <t xml:space="preserve"> </t>
    </r>
    <r>
      <rPr>
        <b/>
        <sz val="11"/>
        <color theme="1"/>
        <rFont val="Calibri"/>
        <family val="2"/>
        <scheme val="minor"/>
      </rPr>
      <t>margin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</si>
</sst>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0" fillId="0" borderId="0" xfId="0" applyAlignment="1">
      <alignment vertical="center" wrapText="1"/>
    </xf>
    <xf numFmtId="0" fontId="1" fillId="0" borderId="0" xfId="0" applyFont="1"/>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xf>
    <xf numFmtId="0" fontId="1" fillId="2" borderId="6" xfId="0" applyFont="1" applyFill="1" applyBorder="1" applyAlignment="1">
      <alignment horizontal="center"/>
    </xf>
    <xf numFmtId="1" fontId="1" fillId="2" borderId="4" xfId="0" applyNumberFormat="1" applyFont="1" applyFill="1" applyBorder="1" applyAlignment="1">
      <alignment horizontal="center"/>
    </xf>
    <xf numFmtId="1" fontId="0" fillId="0" borderId="0" xfId="0" applyNumberFormat="1" applyAlignment="1">
      <alignment vertical="center" wrapText="1"/>
    </xf>
    <xf numFmtId="1" fontId="0" fillId="0" borderId="0" xfId="0" applyNumberFormat="1"/>
    <xf numFmtId="1" fontId="1" fillId="2" borderId="4" xfId="0" applyNumberFormat="1" applyFont="1" applyFill="1" applyBorder="1" applyAlignment="1">
      <alignment horizontal="center" vertical="center"/>
    </xf>
    <xf numFmtId="0" fontId="0" fillId="0" borderId="0" xfId="0" applyAlignment="1">
      <alignment horizontal="left" vertical="center"/>
    </xf>
    <xf numFmtId="10" fontId="0" fillId="0" borderId="0" xfId="0" applyNumberFormat="1"/>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1" fontId="0" fillId="0" borderId="2" xfId="0" applyNumberFormat="1" applyBorder="1" applyAlignment="1">
      <alignment horizontal="center" vertical="center" wrapText="1"/>
    </xf>
    <xf numFmtId="0" fontId="0" fillId="0" borderId="3" xfId="0" applyBorder="1" applyAlignment="1">
      <alignment horizontal="center" vertical="center" wrapText="1"/>
    </xf>
    <xf numFmtId="1" fontId="0" fillId="0" borderId="7" xfId="0" applyNumberFormat="1"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10" fontId="0" fillId="0" borderId="0" xfId="0" applyNumberFormat="1" applyAlignment="1">
      <alignment horizontal="center" vertical="center" wrapText="1"/>
    </xf>
    <xf numFmtId="10" fontId="1" fillId="2" borderId="5"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9" fontId="0" fillId="0" borderId="0" xfId="0" applyNumberFormat="1"/>
    <xf numFmtId="0" fontId="0" fillId="0" borderId="0" xfId="0" applyNumberFormat="1"/>
    <xf numFmtId="0" fontId="0" fillId="0" borderId="0" xfId="0" applyFont="1" applyAlignment="1">
      <alignment horizontal="center" vertical="center"/>
    </xf>
  </cellXfs>
  <cellStyles count="1">
    <cellStyle name="Normal" xfId="0" builtinId="0"/>
  </cellStyles>
  <dxfs count="53">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4" formatCode="0.00%"/>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[sql_excel_financial_analysis.xlsx]pivots!PivotTable4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Profit Trend by Company</a:t>
            </a:r>
          </a:p>
        </c:rich>
      </c:tx>
      <c:layout>
        <c:manualLayout>
          <c:xMode val="edge"/>
          <c:yMode val="edge"/>
          <c:x val="0.28704643473588348"/>
          <c:y val="6.12083346737317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9069075001392"/>
          <c:y val="0.18875054559802532"/>
          <c:w val="0.61994074490444617"/>
          <c:h val="0.64455732341247562"/>
        </c:manualLayout>
      </c:layout>
      <c:lineChart>
        <c:grouping val="percentStacked"/>
        <c:varyColors val="0"/>
        <c:ser>
          <c:idx val="0"/>
          <c:order val="0"/>
          <c:tx>
            <c:strRef>
              <c:f>pivots!$B$3:$B$4</c:f>
              <c:strCache>
                <c:ptCount val="1"/>
                <c:pt idx="0">
                  <c:v>Byjus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pivots!$A$5:$A$9</c:f>
              <c:strCache>
                <c:ptCount val="4"/>
                <c:pt idx="0">
                  <c:v>2020</c:v>
                </c:pt>
                <c:pt idx="1">
                  <c:v>2021</c:v>
                </c:pt>
                <c:pt idx="2">
                  <c:v>2022</c:v>
                </c:pt>
                <c:pt idx="3">
                  <c:v>2023</c:v>
                </c:pt>
              </c:strCache>
            </c:strRef>
          </c:cat>
          <c:val>
            <c:numRef>
              <c:f>pivots!$B$5:$B$9</c:f>
              <c:numCache>
                <c:formatCode>General</c:formatCode>
                <c:ptCount val="4"/>
                <c:pt idx="0">
                  <c:v>-82761916</c:v>
                </c:pt>
                <c:pt idx="1">
                  <c:v>-96152503</c:v>
                </c:pt>
                <c:pt idx="2">
                  <c:v>16000677</c:v>
                </c:pt>
                <c:pt idx="3">
                  <c:v>34403728</c:v>
                </c:pt>
              </c:numCache>
            </c:numRef>
          </c:val>
          <c:smooth val="0"/>
          <c:extLst>
            <c:ext xmlns:c16="http://schemas.microsoft.com/office/drawing/2014/chart" uri="{C3380CC4-5D6E-409C-BE32-E72D297353CC}">
              <c16:uniqueId val="{00000000-3540-4112-AABE-191D02E917DB}"/>
            </c:ext>
          </c:extLst>
        </c:ser>
        <c:ser>
          <c:idx val="1"/>
          <c:order val="1"/>
          <c:tx>
            <c:strRef>
              <c:f>pivots!$C$3:$C$4</c:f>
              <c:strCache>
                <c:ptCount val="1"/>
                <c:pt idx="0">
                  <c:v>HDFC Bank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pivots!$A$5:$A$9</c:f>
              <c:strCache>
                <c:ptCount val="4"/>
                <c:pt idx="0">
                  <c:v>2020</c:v>
                </c:pt>
                <c:pt idx="1">
                  <c:v>2021</c:v>
                </c:pt>
                <c:pt idx="2">
                  <c:v>2022</c:v>
                </c:pt>
                <c:pt idx="3">
                  <c:v>2023</c:v>
                </c:pt>
              </c:strCache>
            </c:strRef>
          </c:cat>
          <c:val>
            <c:numRef>
              <c:f>pivots!$C$5:$C$9</c:f>
              <c:numCache>
                <c:formatCode>General</c:formatCode>
                <c:ptCount val="4"/>
                <c:pt idx="0">
                  <c:v>42892167</c:v>
                </c:pt>
                <c:pt idx="1">
                  <c:v>-91800009</c:v>
                </c:pt>
                <c:pt idx="2">
                  <c:v>53622847</c:v>
                </c:pt>
                <c:pt idx="3">
                  <c:v>30960887</c:v>
                </c:pt>
              </c:numCache>
            </c:numRef>
          </c:val>
          <c:smooth val="0"/>
          <c:extLst>
            <c:ext xmlns:c16="http://schemas.microsoft.com/office/drawing/2014/chart" uri="{C3380CC4-5D6E-409C-BE32-E72D297353CC}">
              <c16:uniqueId val="{00000011-D44A-43FA-B9E4-BA32F33F18BC}"/>
            </c:ext>
          </c:extLst>
        </c:ser>
        <c:ser>
          <c:idx val="2"/>
          <c:order val="2"/>
          <c:tx>
            <c:strRef>
              <c:f>pivots!$D$3:$D$4</c:f>
              <c:strCache>
                <c:ptCount val="1"/>
                <c:pt idx="0">
                  <c:v>Infosys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pivots!$A$5:$A$9</c:f>
              <c:strCache>
                <c:ptCount val="4"/>
                <c:pt idx="0">
                  <c:v>2020</c:v>
                </c:pt>
                <c:pt idx="1">
                  <c:v>2021</c:v>
                </c:pt>
                <c:pt idx="2">
                  <c:v>2022</c:v>
                </c:pt>
                <c:pt idx="3">
                  <c:v>2023</c:v>
                </c:pt>
              </c:strCache>
            </c:strRef>
          </c:cat>
          <c:val>
            <c:numRef>
              <c:f>pivots!$D$5:$D$9</c:f>
              <c:numCache>
                <c:formatCode>General</c:formatCode>
                <c:ptCount val="4"/>
                <c:pt idx="0">
                  <c:v>-36428688</c:v>
                </c:pt>
                <c:pt idx="1">
                  <c:v>-26998930</c:v>
                </c:pt>
                <c:pt idx="2">
                  <c:v>-27043352</c:v>
                </c:pt>
                <c:pt idx="3">
                  <c:v>-5076417</c:v>
                </c:pt>
              </c:numCache>
            </c:numRef>
          </c:val>
          <c:smooth val="0"/>
          <c:extLst>
            <c:ext xmlns:c16="http://schemas.microsoft.com/office/drawing/2014/chart" uri="{C3380CC4-5D6E-409C-BE32-E72D297353CC}">
              <c16:uniqueId val="{00000015-D44A-43FA-B9E4-BA32F33F18BC}"/>
            </c:ext>
          </c:extLst>
        </c:ser>
        <c:ser>
          <c:idx val="3"/>
          <c:order val="3"/>
          <c:tx>
            <c:strRef>
              <c:f>pivots!$E$3:$E$4</c:f>
              <c:strCache>
                <c:ptCount val="1"/>
                <c:pt idx="0">
                  <c:v>ITC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pivots!$A$5:$A$9</c:f>
              <c:strCache>
                <c:ptCount val="4"/>
                <c:pt idx="0">
                  <c:v>2020</c:v>
                </c:pt>
                <c:pt idx="1">
                  <c:v>2021</c:v>
                </c:pt>
                <c:pt idx="2">
                  <c:v>2022</c:v>
                </c:pt>
                <c:pt idx="3">
                  <c:v>2023</c:v>
                </c:pt>
              </c:strCache>
            </c:strRef>
          </c:cat>
          <c:val>
            <c:numRef>
              <c:f>pivots!$E$5:$E$9</c:f>
              <c:numCache>
                <c:formatCode>General</c:formatCode>
                <c:ptCount val="4"/>
                <c:pt idx="0">
                  <c:v>-79163970</c:v>
                </c:pt>
                <c:pt idx="1">
                  <c:v>62044741</c:v>
                </c:pt>
                <c:pt idx="2">
                  <c:v>-27397417</c:v>
                </c:pt>
                <c:pt idx="3">
                  <c:v>24767611</c:v>
                </c:pt>
              </c:numCache>
            </c:numRef>
          </c:val>
          <c:smooth val="0"/>
          <c:extLst>
            <c:ext xmlns:c16="http://schemas.microsoft.com/office/drawing/2014/chart" uri="{C3380CC4-5D6E-409C-BE32-E72D297353CC}">
              <c16:uniqueId val="{00000016-D44A-43FA-B9E4-BA32F33F18BC}"/>
            </c:ext>
          </c:extLst>
        </c:ser>
        <c:ser>
          <c:idx val="4"/>
          <c:order val="4"/>
          <c:tx>
            <c:strRef>
              <c:f>pivots!$F$3:$F$4</c:f>
              <c:strCache>
                <c:ptCount val="1"/>
                <c:pt idx="0">
                  <c:v>TCS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pivots!$A$5:$A$9</c:f>
              <c:strCache>
                <c:ptCount val="4"/>
                <c:pt idx="0">
                  <c:v>2020</c:v>
                </c:pt>
                <c:pt idx="1">
                  <c:v>2021</c:v>
                </c:pt>
                <c:pt idx="2">
                  <c:v>2022</c:v>
                </c:pt>
                <c:pt idx="3">
                  <c:v>2023</c:v>
                </c:pt>
              </c:strCache>
            </c:strRef>
          </c:cat>
          <c:val>
            <c:numRef>
              <c:f>pivots!$F$5:$F$9</c:f>
              <c:numCache>
                <c:formatCode>General</c:formatCode>
                <c:ptCount val="4"/>
                <c:pt idx="0">
                  <c:v>-24834666</c:v>
                </c:pt>
                <c:pt idx="1">
                  <c:v>-65820796</c:v>
                </c:pt>
                <c:pt idx="2">
                  <c:v>-40590090</c:v>
                </c:pt>
                <c:pt idx="3">
                  <c:v>-32835528</c:v>
                </c:pt>
              </c:numCache>
            </c:numRef>
          </c:val>
          <c:smooth val="0"/>
          <c:extLst>
            <c:ext xmlns:c16="http://schemas.microsoft.com/office/drawing/2014/chart" uri="{C3380CC4-5D6E-409C-BE32-E72D297353CC}">
              <c16:uniqueId val="{00000017-D44A-43FA-B9E4-BA32F33F18BC}"/>
            </c:ext>
          </c:extLst>
        </c:ser>
        <c:dLbls>
          <c:showLegendKey val="0"/>
          <c:showVal val="0"/>
          <c:showCatName val="0"/>
          <c:showSerName val="0"/>
          <c:showPercent val="0"/>
          <c:showBubbleSize val="0"/>
        </c:dLbls>
        <c:marker val="1"/>
        <c:smooth val="0"/>
        <c:axId val="1014552992"/>
        <c:axId val="1014536672"/>
      </c:lineChart>
      <c:catAx>
        <c:axId val="101455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manualLayout>
              <c:xMode val="edge"/>
              <c:yMode val="edge"/>
              <c:x val="0.3998030002063912"/>
              <c:y val="0.888813618811258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36672"/>
        <c:crosses val="autoZero"/>
        <c:auto val="1"/>
        <c:lblAlgn val="ctr"/>
        <c:lblOffset val="100"/>
        <c:noMultiLvlLbl val="0"/>
      </c:catAx>
      <c:valAx>
        <c:axId val="1014536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52992"/>
        <c:crosses val="autoZero"/>
        <c:crossBetween val="between"/>
      </c:valAx>
      <c:spPr>
        <a:noFill/>
        <a:ln>
          <a:noFill/>
        </a:ln>
        <a:effectLst/>
      </c:spPr>
    </c:plotArea>
    <c:legend>
      <c:legendPos val="r"/>
      <c:layout>
        <c:manualLayout>
          <c:xMode val="edge"/>
          <c:yMode val="edge"/>
          <c:x val="0.74874018372082596"/>
          <c:y val="0.27818166663252525"/>
          <c:w val="0.15166181732864462"/>
          <c:h val="0.444543027696545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[sql_excel_financial_analysis.xlsx]pivots!PivotTable5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Department</a:t>
            </a:r>
            <a:r>
              <a:rPr lang="en-IN" sz="1600" b="1" baseline="0"/>
              <a:t>-wise Cost Breakdown</a:t>
            </a:r>
            <a:endParaRPr lang="en-IN" sz="1600" b="1"/>
          </a:p>
        </c:rich>
      </c:tx>
      <c:layout>
        <c:manualLayout>
          <c:xMode val="edge"/>
          <c:yMode val="edge"/>
          <c:x val="0.20272483122075366"/>
          <c:y val="7.6473675381952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620335018257723"/>
          <c:y val="0.13786186020456165"/>
          <c:w val="0.34976979087823212"/>
          <c:h val="0.63392671619188834"/>
        </c:manualLayout>
      </c:layout>
      <c:bar3DChart>
        <c:barDir val="bar"/>
        <c:grouping val="clustered"/>
        <c:varyColors val="0"/>
        <c:ser>
          <c:idx val="0"/>
          <c:order val="0"/>
          <c:tx>
            <c:strRef>
              <c:f>pivots!$K$3</c:f>
              <c:strCache>
                <c:ptCount val="1"/>
                <c:pt idx="0">
                  <c:v>Sum of revenue</c:v>
                </c:pt>
              </c:strCache>
            </c:strRef>
          </c:tx>
          <c:spPr>
            <a:solidFill>
              <a:schemeClr val="accent1"/>
            </a:solidFill>
            <a:ln>
              <a:noFill/>
            </a:ln>
            <a:effectLst/>
            <a:sp3d/>
          </c:spPr>
          <c:invertIfNegative val="0"/>
          <c:cat>
            <c:strRef>
              <c:f>pivots!$J$4:$J$9</c:f>
              <c:strCache>
                <c:ptCount val="5"/>
                <c:pt idx="0">
                  <c:v>Byjus</c:v>
                </c:pt>
                <c:pt idx="1">
                  <c:v>HDFC Bank</c:v>
                </c:pt>
                <c:pt idx="2">
                  <c:v>Infosys</c:v>
                </c:pt>
                <c:pt idx="3">
                  <c:v>ITC</c:v>
                </c:pt>
                <c:pt idx="4">
                  <c:v>TCS</c:v>
                </c:pt>
              </c:strCache>
            </c:strRef>
          </c:cat>
          <c:val>
            <c:numRef>
              <c:f>pivots!$K$4:$K$9</c:f>
              <c:numCache>
                <c:formatCode>General</c:formatCode>
                <c:ptCount val="5"/>
                <c:pt idx="0">
                  <c:v>362283283</c:v>
                </c:pt>
                <c:pt idx="1">
                  <c:v>381992101</c:v>
                </c:pt>
                <c:pt idx="2">
                  <c:v>430822477</c:v>
                </c:pt>
                <c:pt idx="3">
                  <c:v>479523258</c:v>
                </c:pt>
                <c:pt idx="4">
                  <c:v>340485235</c:v>
                </c:pt>
              </c:numCache>
            </c:numRef>
          </c:val>
          <c:extLst>
            <c:ext xmlns:c16="http://schemas.microsoft.com/office/drawing/2014/chart" uri="{C3380CC4-5D6E-409C-BE32-E72D297353CC}">
              <c16:uniqueId val="{00000000-0D1E-4225-A8BC-7241EEA737E1}"/>
            </c:ext>
          </c:extLst>
        </c:ser>
        <c:ser>
          <c:idx val="1"/>
          <c:order val="1"/>
          <c:tx>
            <c:strRef>
              <c:f>pivots!$L$3</c:f>
              <c:strCache>
                <c:ptCount val="1"/>
                <c:pt idx="0">
                  <c:v>Sum of expense</c:v>
                </c:pt>
              </c:strCache>
            </c:strRef>
          </c:tx>
          <c:spPr>
            <a:solidFill>
              <a:schemeClr val="accent2"/>
            </a:solidFill>
            <a:ln>
              <a:noFill/>
            </a:ln>
            <a:effectLst/>
            <a:sp3d/>
          </c:spPr>
          <c:invertIfNegative val="0"/>
          <c:cat>
            <c:strRef>
              <c:f>pivots!$J$4:$J$9</c:f>
              <c:strCache>
                <c:ptCount val="5"/>
                <c:pt idx="0">
                  <c:v>Byjus</c:v>
                </c:pt>
                <c:pt idx="1">
                  <c:v>HDFC Bank</c:v>
                </c:pt>
                <c:pt idx="2">
                  <c:v>Infosys</c:v>
                </c:pt>
                <c:pt idx="3">
                  <c:v>ITC</c:v>
                </c:pt>
                <c:pt idx="4">
                  <c:v>TCS</c:v>
                </c:pt>
              </c:strCache>
            </c:strRef>
          </c:cat>
          <c:val>
            <c:numRef>
              <c:f>pivots!$L$4:$L$9</c:f>
              <c:numCache>
                <c:formatCode>General</c:formatCode>
                <c:ptCount val="5"/>
                <c:pt idx="0">
                  <c:v>490793297</c:v>
                </c:pt>
                <c:pt idx="1">
                  <c:v>346316209</c:v>
                </c:pt>
                <c:pt idx="2">
                  <c:v>526369864</c:v>
                </c:pt>
                <c:pt idx="3">
                  <c:v>499272293</c:v>
                </c:pt>
                <c:pt idx="4">
                  <c:v>504566315</c:v>
                </c:pt>
              </c:numCache>
            </c:numRef>
          </c:val>
          <c:extLst>
            <c:ext xmlns:c16="http://schemas.microsoft.com/office/drawing/2014/chart" uri="{C3380CC4-5D6E-409C-BE32-E72D297353CC}">
              <c16:uniqueId val="{00000001-0D1E-4225-A8BC-7241EEA737E1}"/>
            </c:ext>
          </c:extLst>
        </c:ser>
        <c:ser>
          <c:idx val="2"/>
          <c:order val="2"/>
          <c:tx>
            <c:strRef>
              <c:f>pivots!$M$3</c:f>
              <c:strCache>
                <c:ptCount val="1"/>
                <c:pt idx="0">
                  <c:v>Sum of cost_efficiency</c:v>
                </c:pt>
              </c:strCache>
            </c:strRef>
          </c:tx>
          <c:spPr>
            <a:solidFill>
              <a:schemeClr val="accent3"/>
            </a:solidFill>
            <a:ln>
              <a:noFill/>
            </a:ln>
            <a:effectLst/>
            <a:sp3d/>
          </c:spPr>
          <c:invertIfNegative val="0"/>
          <c:cat>
            <c:strRef>
              <c:f>pivots!$J$4:$J$9</c:f>
              <c:strCache>
                <c:ptCount val="5"/>
                <c:pt idx="0">
                  <c:v>Byjus</c:v>
                </c:pt>
                <c:pt idx="1">
                  <c:v>HDFC Bank</c:v>
                </c:pt>
                <c:pt idx="2">
                  <c:v>Infosys</c:v>
                </c:pt>
                <c:pt idx="3">
                  <c:v>ITC</c:v>
                </c:pt>
                <c:pt idx="4">
                  <c:v>TCS</c:v>
                </c:pt>
              </c:strCache>
            </c:strRef>
          </c:cat>
          <c:val>
            <c:numRef>
              <c:f>pivots!$M$4:$M$9</c:f>
              <c:numCache>
                <c:formatCode>0%</c:formatCode>
                <c:ptCount val="5"/>
                <c:pt idx="0">
                  <c:v>1.3547224507182132</c:v>
                </c:pt>
                <c:pt idx="1">
                  <c:v>0.90660568135674613</c:v>
                </c:pt>
                <c:pt idx="2">
                  <c:v>1.2217790205964578</c:v>
                </c:pt>
                <c:pt idx="3">
                  <c:v>1.0411847281034281</c:v>
                </c:pt>
                <c:pt idx="4">
                  <c:v>1.4819036572907487</c:v>
                </c:pt>
              </c:numCache>
            </c:numRef>
          </c:val>
          <c:extLst>
            <c:ext xmlns:c16="http://schemas.microsoft.com/office/drawing/2014/chart" uri="{C3380CC4-5D6E-409C-BE32-E72D297353CC}">
              <c16:uniqueId val="{00000002-0D1E-4225-A8BC-7241EEA737E1}"/>
            </c:ext>
          </c:extLst>
        </c:ser>
        <c:dLbls>
          <c:showLegendKey val="0"/>
          <c:showVal val="0"/>
          <c:showCatName val="0"/>
          <c:showSerName val="0"/>
          <c:showPercent val="0"/>
          <c:showBubbleSize val="0"/>
        </c:dLbls>
        <c:gapWidth val="150"/>
        <c:shape val="box"/>
        <c:axId val="201722544"/>
        <c:axId val="201716304"/>
        <c:axId val="0"/>
      </c:bar3DChart>
      <c:catAx>
        <c:axId val="201722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company_name</a:t>
                </a:r>
              </a:p>
            </c:rich>
          </c:tx>
          <c:layout>
            <c:manualLayout>
              <c:xMode val="edge"/>
              <c:yMode val="edge"/>
              <c:x val="0.23003502961116282"/>
              <c:y val="0.344309226219665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6304"/>
        <c:crosses val="autoZero"/>
        <c:auto val="1"/>
        <c:lblAlgn val="ctr"/>
        <c:lblOffset val="100"/>
        <c:noMultiLvlLbl val="0"/>
      </c:catAx>
      <c:valAx>
        <c:axId val="20171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1722544"/>
        <c:crosses val="autoZero"/>
        <c:crossBetween val="between"/>
      </c:valAx>
      <c:spPr>
        <a:noFill/>
        <a:ln>
          <a:noFill/>
        </a:ln>
        <a:effectLst/>
      </c:spPr>
    </c:plotArea>
    <c:legend>
      <c:legendPos val="r"/>
      <c:layout>
        <c:manualLayout>
          <c:xMode val="edge"/>
          <c:yMode val="edge"/>
          <c:x val="0.74105383408206771"/>
          <c:y val="0.31906997132472464"/>
          <c:w val="0.24230880033818683"/>
          <c:h val="0.330101948372532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[sql_excel_financial_analysis.xlsx]pivots!PivotTable6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Cost Efficiency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21681720973049"/>
          <c:y val="0.24049774470803811"/>
          <c:w val="0.62710592085837469"/>
          <c:h val="0.50741403086303272"/>
        </c:manualLayout>
      </c:layout>
      <c:bar3DChart>
        <c:barDir val="col"/>
        <c:grouping val="stacked"/>
        <c:varyColors val="0"/>
        <c:ser>
          <c:idx val="0"/>
          <c:order val="0"/>
          <c:tx>
            <c:strRef>
              <c:f>pivots!$P$3:$P$4</c:f>
              <c:strCache>
                <c:ptCount val="1"/>
                <c:pt idx="0">
                  <c:v>Audit</c:v>
                </c:pt>
              </c:strCache>
            </c:strRef>
          </c:tx>
          <c:spPr>
            <a:solidFill>
              <a:schemeClr val="accent1"/>
            </a:solidFill>
            <a:ln>
              <a:noFill/>
            </a:ln>
            <a:effectLst/>
            <a:sp3d/>
          </c:spPr>
          <c:invertIfNegative val="0"/>
          <c:cat>
            <c:strRef>
              <c:f>pivots!$O$5:$O$10</c:f>
              <c:strCache>
                <c:ptCount val="5"/>
                <c:pt idx="0">
                  <c:v>Byjus</c:v>
                </c:pt>
                <c:pt idx="1">
                  <c:v>HDFC Bank</c:v>
                </c:pt>
                <c:pt idx="2">
                  <c:v>Infosys</c:v>
                </c:pt>
                <c:pt idx="3">
                  <c:v>ITC</c:v>
                </c:pt>
                <c:pt idx="4">
                  <c:v>TCS</c:v>
                </c:pt>
              </c:strCache>
            </c:strRef>
          </c:cat>
          <c:val>
            <c:numRef>
              <c:f>pivots!$P$5:$P$10</c:f>
              <c:numCache>
                <c:formatCode>General</c:formatCode>
                <c:ptCount val="5"/>
                <c:pt idx="0">
                  <c:v>31057087</c:v>
                </c:pt>
                <c:pt idx="1">
                  <c:v>14011660</c:v>
                </c:pt>
                <c:pt idx="2">
                  <c:v>15050390</c:v>
                </c:pt>
                <c:pt idx="3">
                  <c:v>17560422</c:v>
                </c:pt>
                <c:pt idx="4">
                  <c:v>18898056</c:v>
                </c:pt>
              </c:numCache>
            </c:numRef>
          </c:val>
          <c:extLst>
            <c:ext xmlns:c16="http://schemas.microsoft.com/office/drawing/2014/chart" uri="{C3380CC4-5D6E-409C-BE32-E72D297353CC}">
              <c16:uniqueId val="{00000000-2488-4049-903F-90B6729DDD94}"/>
            </c:ext>
          </c:extLst>
        </c:ser>
        <c:ser>
          <c:idx val="1"/>
          <c:order val="1"/>
          <c:tx>
            <c:strRef>
              <c:f>pivots!$Q$3:$Q$4</c:f>
              <c:strCache>
                <c:ptCount val="1"/>
                <c:pt idx="0">
                  <c:v>Finance</c:v>
                </c:pt>
              </c:strCache>
            </c:strRef>
          </c:tx>
          <c:spPr>
            <a:solidFill>
              <a:schemeClr val="accent2"/>
            </a:solidFill>
            <a:ln>
              <a:noFill/>
            </a:ln>
            <a:effectLst/>
            <a:sp3d/>
          </c:spPr>
          <c:invertIfNegative val="0"/>
          <c:cat>
            <c:strRef>
              <c:f>pivots!$O$5:$O$10</c:f>
              <c:strCache>
                <c:ptCount val="5"/>
                <c:pt idx="0">
                  <c:v>Byjus</c:v>
                </c:pt>
                <c:pt idx="1">
                  <c:v>HDFC Bank</c:v>
                </c:pt>
                <c:pt idx="2">
                  <c:v>Infosys</c:v>
                </c:pt>
                <c:pt idx="3">
                  <c:v>ITC</c:v>
                </c:pt>
                <c:pt idx="4">
                  <c:v>TCS</c:v>
                </c:pt>
              </c:strCache>
            </c:strRef>
          </c:cat>
          <c:val>
            <c:numRef>
              <c:f>pivots!$Q$5:$Q$10</c:f>
              <c:numCache>
                <c:formatCode>General</c:formatCode>
                <c:ptCount val="5"/>
                <c:pt idx="0">
                  <c:v>24528319</c:v>
                </c:pt>
                <c:pt idx="1">
                  <c:v>20163898</c:v>
                </c:pt>
                <c:pt idx="2">
                  <c:v>14754233</c:v>
                </c:pt>
                <c:pt idx="3">
                  <c:v>21374361</c:v>
                </c:pt>
                <c:pt idx="4">
                  <c:v>20435872</c:v>
                </c:pt>
              </c:numCache>
            </c:numRef>
          </c:val>
          <c:extLst>
            <c:ext xmlns:c16="http://schemas.microsoft.com/office/drawing/2014/chart" uri="{C3380CC4-5D6E-409C-BE32-E72D297353CC}">
              <c16:uniqueId val="{00000001-2488-4049-903F-90B6729DDD94}"/>
            </c:ext>
          </c:extLst>
        </c:ser>
        <c:ser>
          <c:idx val="2"/>
          <c:order val="2"/>
          <c:tx>
            <c:strRef>
              <c:f>pivots!$R$3:$R$4</c:f>
              <c:strCache>
                <c:ptCount val="1"/>
                <c:pt idx="0">
                  <c:v>HR</c:v>
                </c:pt>
              </c:strCache>
            </c:strRef>
          </c:tx>
          <c:spPr>
            <a:solidFill>
              <a:schemeClr val="accent3"/>
            </a:solidFill>
            <a:ln>
              <a:noFill/>
            </a:ln>
            <a:effectLst/>
            <a:sp3d/>
          </c:spPr>
          <c:invertIfNegative val="0"/>
          <c:cat>
            <c:strRef>
              <c:f>pivots!$O$5:$O$10</c:f>
              <c:strCache>
                <c:ptCount val="5"/>
                <c:pt idx="0">
                  <c:v>Byjus</c:v>
                </c:pt>
                <c:pt idx="1">
                  <c:v>HDFC Bank</c:v>
                </c:pt>
                <c:pt idx="2">
                  <c:v>Infosys</c:v>
                </c:pt>
                <c:pt idx="3">
                  <c:v>ITC</c:v>
                </c:pt>
                <c:pt idx="4">
                  <c:v>TCS</c:v>
                </c:pt>
              </c:strCache>
            </c:strRef>
          </c:cat>
          <c:val>
            <c:numRef>
              <c:f>pivots!$R$5:$R$10</c:f>
              <c:numCache>
                <c:formatCode>General</c:formatCode>
                <c:ptCount val="5"/>
                <c:pt idx="0">
                  <c:v>28867835</c:v>
                </c:pt>
                <c:pt idx="1">
                  <c:v>17038287</c:v>
                </c:pt>
                <c:pt idx="2">
                  <c:v>17151750</c:v>
                </c:pt>
                <c:pt idx="3">
                  <c:v>23118608</c:v>
                </c:pt>
                <c:pt idx="4">
                  <c:v>21317155</c:v>
                </c:pt>
              </c:numCache>
            </c:numRef>
          </c:val>
          <c:extLst>
            <c:ext xmlns:c16="http://schemas.microsoft.com/office/drawing/2014/chart" uri="{C3380CC4-5D6E-409C-BE32-E72D297353CC}">
              <c16:uniqueId val="{00000002-2488-4049-903F-90B6729DDD94}"/>
            </c:ext>
          </c:extLst>
        </c:ser>
        <c:ser>
          <c:idx val="3"/>
          <c:order val="3"/>
          <c:tx>
            <c:strRef>
              <c:f>pivots!$S$3:$S$4</c:f>
              <c:strCache>
                <c:ptCount val="1"/>
                <c:pt idx="0">
                  <c:v>Sales</c:v>
                </c:pt>
              </c:strCache>
            </c:strRef>
          </c:tx>
          <c:spPr>
            <a:solidFill>
              <a:schemeClr val="accent4"/>
            </a:solidFill>
            <a:ln>
              <a:noFill/>
            </a:ln>
            <a:effectLst/>
            <a:sp3d/>
          </c:spPr>
          <c:invertIfNegative val="0"/>
          <c:cat>
            <c:strRef>
              <c:f>pivots!$O$5:$O$10</c:f>
              <c:strCache>
                <c:ptCount val="5"/>
                <c:pt idx="0">
                  <c:v>Byjus</c:v>
                </c:pt>
                <c:pt idx="1">
                  <c:v>HDFC Bank</c:v>
                </c:pt>
                <c:pt idx="2">
                  <c:v>Infosys</c:v>
                </c:pt>
                <c:pt idx="3">
                  <c:v>ITC</c:v>
                </c:pt>
                <c:pt idx="4">
                  <c:v>TCS</c:v>
                </c:pt>
              </c:strCache>
            </c:strRef>
          </c:cat>
          <c:val>
            <c:numRef>
              <c:f>pivots!$S$5:$S$10</c:f>
              <c:numCache>
                <c:formatCode>General</c:formatCode>
                <c:ptCount val="5"/>
                <c:pt idx="0">
                  <c:v>25143921</c:v>
                </c:pt>
                <c:pt idx="1">
                  <c:v>20991712</c:v>
                </c:pt>
                <c:pt idx="2">
                  <c:v>19869583</c:v>
                </c:pt>
                <c:pt idx="3">
                  <c:v>22173552</c:v>
                </c:pt>
                <c:pt idx="4">
                  <c:v>20068803</c:v>
                </c:pt>
              </c:numCache>
            </c:numRef>
          </c:val>
          <c:extLst>
            <c:ext xmlns:c16="http://schemas.microsoft.com/office/drawing/2014/chart" uri="{C3380CC4-5D6E-409C-BE32-E72D297353CC}">
              <c16:uniqueId val="{00000003-2488-4049-903F-90B6729DDD94}"/>
            </c:ext>
          </c:extLst>
        </c:ser>
        <c:ser>
          <c:idx val="4"/>
          <c:order val="4"/>
          <c:tx>
            <c:strRef>
              <c:f>pivots!$T$3:$T$4</c:f>
              <c:strCache>
                <c:ptCount val="1"/>
                <c:pt idx="0">
                  <c:v>Tax</c:v>
                </c:pt>
              </c:strCache>
            </c:strRef>
          </c:tx>
          <c:spPr>
            <a:solidFill>
              <a:schemeClr val="accent5"/>
            </a:solidFill>
            <a:ln>
              <a:noFill/>
            </a:ln>
            <a:effectLst/>
            <a:sp3d/>
          </c:spPr>
          <c:invertIfNegative val="0"/>
          <c:cat>
            <c:strRef>
              <c:f>pivots!$O$5:$O$10</c:f>
              <c:strCache>
                <c:ptCount val="5"/>
                <c:pt idx="0">
                  <c:v>Byjus</c:v>
                </c:pt>
                <c:pt idx="1">
                  <c:v>HDFC Bank</c:v>
                </c:pt>
                <c:pt idx="2">
                  <c:v>Infosys</c:v>
                </c:pt>
                <c:pt idx="3">
                  <c:v>ITC</c:v>
                </c:pt>
                <c:pt idx="4">
                  <c:v>TCS</c:v>
                </c:pt>
              </c:strCache>
            </c:strRef>
          </c:cat>
          <c:val>
            <c:numRef>
              <c:f>pivots!$T$5:$T$10</c:f>
              <c:numCache>
                <c:formatCode>General</c:formatCode>
                <c:ptCount val="5"/>
                <c:pt idx="0">
                  <c:v>25385583</c:v>
                </c:pt>
                <c:pt idx="1">
                  <c:v>13772952</c:v>
                </c:pt>
                <c:pt idx="2">
                  <c:v>16301886</c:v>
                </c:pt>
                <c:pt idx="3">
                  <c:v>21385847</c:v>
                </c:pt>
                <c:pt idx="4">
                  <c:v>16921748</c:v>
                </c:pt>
              </c:numCache>
            </c:numRef>
          </c:val>
          <c:extLst>
            <c:ext xmlns:c16="http://schemas.microsoft.com/office/drawing/2014/chart" uri="{C3380CC4-5D6E-409C-BE32-E72D297353CC}">
              <c16:uniqueId val="{00000004-2488-4049-903F-90B6729DDD94}"/>
            </c:ext>
          </c:extLst>
        </c:ser>
        <c:dLbls>
          <c:showLegendKey val="0"/>
          <c:showVal val="0"/>
          <c:showCatName val="0"/>
          <c:showSerName val="0"/>
          <c:showPercent val="0"/>
          <c:showBubbleSize val="0"/>
        </c:dLbls>
        <c:gapWidth val="150"/>
        <c:shape val="box"/>
        <c:axId val="1598133472"/>
        <c:axId val="1598133952"/>
        <c:axId val="0"/>
      </c:bar3DChart>
      <c:catAx>
        <c:axId val="1598133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company_name</a:t>
                </a:r>
              </a:p>
            </c:rich>
          </c:tx>
          <c:layout>
            <c:manualLayout>
              <c:xMode val="edge"/>
              <c:yMode val="edge"/>
              <c:x val="0.37116851734002759"/>
              <c:y val="0.86438298998680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33952"/>
        <c:crosses val="autoZero"/>
        <c:auto val="1"/>
        <c:lblAlgn val="ctr"/>
        <c:lblOffset val="100"/>
        <c:noMultiLvlLbl val="0"/>
      </c:catAx>
      <c:valAx>
        <c:axId val="159813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33472"/>
        <c:crosses val="autoZero"/>
        <c:crossBetween val="between"/>
      </c:valAx>
      <c:spPr>
        <a:noFill/>
        <a:ln>
          <a:noFill/>
        </a:ln>
        <a:effectLst/>
      </c:spPr>
    </c:plotArea>
    <c:legend>
      <c:legendPos val="r"/>
      <c:layout>
        <c:manualLayout>
          <c:xMode val="edge"/>
          <c:yMode val="edge"/>
          <c:x val="0.79652777777777772"/>
          <c:y val="0.27105278506853309"/>
          <c:w val="0.18680555555555556"/>
          <c:h val="0.28129670587206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64032</xdr:rowOff>
    </xdr:from>
    <xdr:to>
      <xdr:col>6</xdr:col>
      <xdr:colOff>691029</xdr:colOff>
      <xdr:row>26</xdr:row>
      <xdr:rowOff>10953</xdr:rowOff>
    </xdr:to>
    <xdr:graphicFrame macro="">
      <xdr:nvGraphicFramePr>
        <xdr:cNvPr id="2" name="Chart 1">
          <a:extLst>
            <a:ext uri="{FF2B5EF4-FFF2-40B4-BE49-F238E27FC236}">
              <a16:creationId xmlns:a16="http://schemas.microsoft.com/office/drawing/2014/main" id="{044D3618-2C88-42DD-9EF9-7B2837420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927768</xdr:colOff>
      <xdr:row>9</xdr:row>
      <xdr:rowOff>148076</xdr:rowOff>
    </xdr:from>
    <xdr:to>
      <xdr:col>13</xdr:col>
      <xdr:colOff>0</xdr:colOff>
      <xdr:row>25</xdr:row>
      <xdr:rowOff>133754</xdr:rowOff>
    </xdr:to>
    <xdr:graphicFrame macro="">
      <xdr:nvGraphicFramePr>
        <xdr:cNvPr id="3" name="Chart 2">
          <a:extLst>
            <a:ext uri="{FF2B5EF4-FFF2-40B4-BE49-F238E27FC236}">
              <a16:creationId xmlns:a16="http://schemas.microsoft.com/office/drawing/2014/main" id="{2B3DB8A7-78E2-4D96-9435-7A3F45776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333894</xdr:colOff>
      <xdr:row>10</xdr:row>
      <xdr:rowOff>62461</xdr:rowOff>
    </xdr:from>
    <xdr:to>
      <xdr:col>20</xdr:col>
      <xdr:colOff>739099</xdr:colOff>
      <xdr:row>25</xdr:row>
      <xdr:rowOff>135329</xdr:rowOff>
    </xdr:to>
    <xdr:graphicFrame macro="">
      <xdr:nvGraphicFramePr>
        <xdr:cNvPr id="4" name="Chart 3">
          <a:extLst>
            <a:ext uri="{FF2B5EF4-FFF2-40B4-BE49-F238E27FC236}">
              <a16:creationId xmlns:a16="http://schemas.microsoft.com/office/drawing/2014/main" id="{8F692C64-A58D-4F2F-B0A5-C44317F67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77268</xdr:colOff>
      <xdr:row>5</xdr:row>
      <xdr:rowOff>42568</xdr:rowOff>
    </xdr:from>
    <xdr:to>
      <xdr:col>8</xdr:col>
      <xdr:colOff>809760</xdr:colOff>
      <xdr:row>14</xdr:row>
      <xdr:rowOff>118280</xdr:rowOff>
    </xdr:to>
    <mc:AlternateContent xmlns:mc="http://schemas.openxmlformats.org/markup-compatibility/2006">
      <mc:Choice xmlns:a14="http://schemas.microsoft.com/office/drawing/2010/main" Requires="a14">
        <xdr:graphicFrame macro="">
          <xdr:nvGraphicFramePr>
            <xdr:cNvPr id="8" name="company_name">
              <a:extLst>
                <a:ext uri="{FF2B5EF4-FFF2-40B4-BE49-F238E27FC236}">
                  <a16:creationId xmlns:a16="http://schemas.microsoft.com/office/drawing/2014/main" id="{515D24A8-C0BB-1488-A08C-077A0CEDF6F5}"/>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dr:sp macro="" textlink="">
          <xdr:nvSpPr>
            <xdr:cNvPr id="0" name=""/>
            <xdr:cNvSpPr>
              <a:spLocks noTextEdit="1"/>
            </xdr:cNvSpPr>
          </xdr:nvSpPr>
          <xdr:spPr>
            <a:xfrm>
              <a:off x="6564851" y="942151"/>
              <a:ext cx="1346326" cy="1694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88017</xdr:colOff>
      <xdr:row>15</xdr:row>
      <xdr:rowOff>68873</xdr:rowOff>
    </xdr:from>
    <xdr:to>
      <xdr:col>8</xdr:col>
      <xdr:colOff>805699</xdr:colOff>
      <xdr:row>24</xdr:row>
      <xdr:rowOff>144585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88554539-0BE0-4066-BB26-1F657BBE65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75600" y="2767623"/>
              <a:ext cx="1331516" cy="1694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21</xdr:col>
      <xdr:colOff>20820</xdr:colOff>
      <xdr:row>2</xdr:row>
      <xdr:rowOff>0</xdr:rowOff>
    </xdr:to>
    <xdr:sp macro="" textlink="">
      <xdr:nvSpPr>
        <xdr:cNvPr id="6" name="Rectangle 5">
          <a:extLst>
            <a:ext uri="{FF2B5EF4-FFF2-40B4-BE49-F238E27FC236}">
              <a16:creationId xmlns:a16="http://schemas.microsoft.com/office/drawing/2014/main" id="{E0F198D0-D497-6884-88AE-B8FAE77B1E60}"/>
            </a:ext>
          </a:extLst>
        </xdr:cNvPr>
        <xdr:cNvSpPr/>
      </xdr:nvSpPr>
      <xdr:spPr>
        <a:xfrm>
          <a:off x="0" y="0"/>
          <a:ext cx="19424754" cy="37475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85000"/>
                  <a:lumOff val="15000"/>
                </a:schemeClr>
              </a:solidFill>
              <a:latin typeface="Times New Roman" panose="02020603050405020304" pitchFamily="18" charset="0"/>
              <a:cs typeface="Times New Roman" panose="02020603050405020304" pitchFamily="18" charset="0"/>
            </a:rPr>
            <a:t>Financial</a:t>
          </a:r>
          <a:r>
            <a:rPr lang="en-IN" sz="1800" b="1" baseline="0">
              <a:solidFill>
                <a:schemeClr val="tx1">
                  <a:lumMod val="85000"/>
                  <a:lumOff val="15000"/>
                </a:schemeClr>
              </a:solidFill>
              <a:latin typeface="Times New Roman" panose="02020603050405020304" pitchFamily="18" charset="0"/>
              <a:cs typeface="Times New Roman" panose="02020603050405020304" pitchFamily="18" charset="0"/>
            </a:rPr>
            <a:t> Performance &amp; Cost Analysis Dashboard</a:t>
          </a:r>
          <a:endParaRPr lang="en-IN" sz="1800" b="1">
            <a:solidFill>
              <a:schemeClr val="tx1">
                <a:lumMod val="85000"/>
                <a:lumOff val="15000"/>
              </a:schemeClr>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157043</xdr:colOff>
      <xdr:row>3</xdr:row>
      <xdr:rowOff>0</xdr:rowOff>
    </xdr:from>
    <xdr:to>
      <xdr:col>8</xdr:col>
      <xdr:colOff>764731</xdr:colOff>
      <xdr:row>4</xdr:row>
      <xdr:rowOff>116076</xdr:rowOff>
    </xdr:to>
    <xdr:sp macro="" textlink="">
      <xdr:nvSpPr>
        <xdr:cNvPr id="15" name="Rectangle: Rounded Corners 14">
          <a:extLst>
            <a:ext uri="{FF2B5EF4-FFF2-40B4-BE49-F238E27FC236}">
              <a16:creationId xmlns:a16="http://schemas.microsoft.com/office/drawing/2014/main" id="{420EAE17-89E6-EE0B-969B-2E16060EA686}"/>
            </a:ext>
          </a:extLst>
        </xdr:cNvPr>
        <xdr:cNvSpPr/>
      </xdr:nvSpPr>
      <xdr:spPr>
        <a:xfrm>
          <a:off x="6582151" y="553065"/>
          <a:ext cx="1215376" cy="30043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85000"/>
                  <a:lumOff val="15000"/>
                </a:schemeClr>
              </a:solidFill>
              <a:latin typeface="Times New Roman" panose="02020603050405020304" pitchFamily="18" charset="0"/>
              <a:cs typeface="Times New Roman" panose="02020603050405020304" pitchFamily="18" charset="0"/>
            </a:rPr>
            <a:t>FILTERS</a:t>
          </a:r>
          <a:endParaRPr lang="en-IN" sz="1600" b="1">
            <a:solidFill>
              <a:schemeClr val="tx1">
                <a:lumMod val="85000"/>
                <a:lumOff val="15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vely" refreshedDate="46051.160342476855" createdVersion="8" refreshedVersion="8" minRefreshableVersion="3" recordCount="80" xr:uid="{20231D6C-6690-4E17-861A-3AF6BFB23E6B}">
  <cacheSource type="worksheet">
    <worksheetSource name="financials"/>
  </cacheSource>
  <cacheFields count="10">
    <cacheField name="company_id" numFmtId="0">
      <sharedItems containsSemiMixedTypes="0" containsString="0" containsNumber="1" containsInteger="1" minValue="1" maxValue="5"/>
    </cacheField>
    <cacheField name="year" numFmtId="0">
      <sharedItems containsSemiMixedTypes="0" containsString="0" containsNumber="1" containsInteger="1" minValue="2020" maxValue="2023" count="4">
        <n v="2020"/>
        <n v="2021"/>
        <n v="2022"/>
        <n v="2023"/>
      </sharedItems>
    </cacheField>
    <cacheField name="quarter" numFmtId="0">
      <sharedItems containsSemiMixedTypes="0" containsString="0" containsNumber="1" containsInteger="1" minValue="1" maxValue="4"/>
    </cacheField>
    <cacheField name="revenue" numFmtId="0">
      <sharedItems containsSemiMixedTypes="0" containsString="0" containsNumber="1" containsInteger="1" minValue="704651" maxValue="49003256"/>
    </cacheField>
    <cacheField name="expense" numFmtId="0">
      <sharedItems containsSemiMixedTypes="0" containsString="0" containsNumber="1" containsInteger="1" minValue="950851" maxValue="58429830"/>
    </cacheField>
    <cacheField name="company_name" numFmtId="0">
      <sharedItems count="5">
        <s v="TCS"/>
        <s v="HDFC Bank"/>
        <s v="ITC"/>
        <s v="Byjus"/>
        <s v="Infosys"/>
      </sharedItems>
    </cacheField>
    <cacheField name="profit" numFmtId="0">
      <sharedItems containsSemiMixedTypes="0" containsString="0" containsNumber="1" containsInteger="1" minValue="-51832284" maxValue="42394228"/>
    </cacheField>
    <cacheField name="industry" numFmtId="0">
      <sharedItems/>
    </cacheField>
    <cacheField name="profit margin" numFmtId="10">
      <sharedItems containsSemiMixedTypes="0" containsString="0" containsNumber="1" minValue="-16.959959000376077" maxValue="0.97001793403996572"/>
    </cacheField>
    <cacheField name="cost_efficiency" numFmtId="0" formula="expense/revenue" databaseField="0"/>
  </cacheFields>
  <extLst>
    <ext xmlns:x14="http://schemas.microsoft.com/office/spreadsheetml/2009/9/main" uri="{725AE2AE-9491-48be-B2B4-4EB974FC3084}">
      <x14:pivotCacheDefinition pivotCacheId="17478044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vely" refreshedDate="46051.161974074072" createdVersion="8" refreshedVersion="8" minRefreshableVersion="3" recordCount="100" xr:uid="{8A1F10EF-57D0-47DE-B6B1-80B87AB721BE}">
  <cacheSource type="worksheet">
    <worksheetSource name="dept_expenses"/>
  </cacheSource>
  <cacheFields count="8">
    <cacheField name="company_id" numFmtId="1">
      <sharedItems containsSemiMixedTypes="0" containsString="0" containsNumber="1" containsInteger="1" minValue="1" maxValue="5"/>
    </cacheField>
    <cacheField name="dept_id" numFmtId="0">
      <sharedItems containsSemiMixedTypes="0" containsString="0" containsNumber="1" containsInteger="1" minValue="1" maxValue="5"/>
    </cacheField>
    <cacheField name="year" numFmtId="0">
      <sharedItems containsSemiMixedTypes="0" containsString="0" containsNumber="1" containsInteger="1" minValue="2020" maxValue="2023"/>
    </cacheField>
    <cacheField name="quarter" numFmtId="0">
      <sharedItems containsSemiMixedTypes="0" containsString="0" containsNumber="1" containsInteger="1" minValue="1" maxValue="4"/>
    </cacheField>
    <cacheField name="expense_amt" numFmtId="0">
      <sharedItems containsSemiMixedTypes="0" containsString="0" containsNumber="1" containsInteger="1" minValue="245126" maxValue="9867460"/>
    </cacheField>
    <cacheField name="company_name" numFmtId="0">
      <sharedItems count="5">
        <s v="TCS"/>
        <s v="HDFC Bank"/>
        <s v="ITC"/>
        <s v="Byjus"/>
        <s v="Infosys"/>
      </sharedItems>
    </cacheField>
    <cacheField name="dept_name" numFmtId="0">
      <sharedItems count="5">
        <s v="Sales"/>
        <s v="HR"/>
        <s v="Finance"/>
        <s v="Audit"/>
        <s v="Tax"/>
      </sharedItems>
    </cacheField>
    <cacheField name="year_quart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x v="0"/>
    <n v="1"/>
    <n v="4808819"/>
    <n v="45724044"/>
    <x v="0"/>
    <n v="-40915225"/>
    <s v="IT"/>
    <n v="-8.5083728458068393"/>
  </r>
  <r>
    <n v="1"/>
    <x v="0"/>
    <n v="2"/>
    <n v="35802462"/>
    <n v="23051148"/>
    <x v="0"/>
    <n v="12751314"/>
    <s v="IT"/>
    <n v="0.35615746202034931"/>
  </r>
  <r>
    <n v="1"/>
    <x v="0"/>
    <n v="3"/>
    <n v="37317095"/>
    <n v="35483790"/>
    <x v="0"/>
    <n v="1833305"/>
    <s v="IT"/>
    <n v="4.9127752307622015E-2"/>
  </r>
  <r>
    <n v="1"/>
    <x v="0"/>
    <n v="4"/>
    <n v="36705429"/>
    <n v="35209489"/>
    <x v="0"/>
    <n v="1495940"/>
    <s v="IT"/>
    <n v="4.0755279007909158E-2"/>
  </r>
  <r>
    <n v="1"/>
    <x v="1"/>
    <n v="1"/>
    <n v="5097468"/>
    <n v="1841459"/>
    <x v="0"/>
    <n v="3256009"/>
    <s v="IT"/>
    <n v="0.63875025797121232"/>
  </r>
  <r>
    <n v="1"/>
    <x v="1"/>
    <n v="2"/>
    <n v="9738482"/>
    <n v="58429830"/>
    <x v="0"/>
    <n v="-48691348"/>
    <s v="IT"/>
    <n v="-4.9998909480964278"/>
  </r>
  <r>
    <n v="1"/>
    <x v="1"/>
    <n v="3"/>
    <n v="38370783"/>
    <n v="26093478"/>
    <x v="0"/>
    <n v="12277305"/>
    <s v="IT"/>
    <n v="0.31996493269371123"/>
  </r>
  <r>
    <n v="1"/>
    <x v="1"/>
    <n v="4"/>
    <n v="19514381"/>
    <n v="52177143"/>
    <x v="0"/>
    <n v="-32662762"/>
    <s v="IT"/>
    <n v="-1.6737790453102253"/>
  </r>
  <r>
    <n v="1"/>
    <x v="2"/>
    <n v="1"/>
    <n v="19440374"/>
    <n v="12842751"/>
    <x v="0"/>
    <n v="6597623"/>
    <s v="IT"/>
    <n v="0.33937737000327256"/>
  </r>
  <r>
    <n v="1"/>
    <x v="2"/>
    <n v="2"/>
    <n v="30658095"/>
    <n v="29987680"/>
    <x v="0"/>
    <n v="670415"/>
    <s v="IT"/>
    <n v="2.1867470891456239E-2"/>
  </r>
  <r>
    <n v="1"/>
    <x v="2"/>
    <n v="3"/>
    <n v="10298765"/>
    <n v="48890446"/>
    <x v="0"/>
    <n v="-38591681"/>
    <s v="IT"/>
    <n v="-3.7472144475575471"/>
  </r>
  <r>
    <n v="1"/>
    <x v="2"/>
    <n v="4"/>
    <n v="5465419"/>
    <n v="14731866"/>
    <x v="0"/>
    <n v="-9266447"/>
    <s v="IT"/>
    <n v="-1.6954687280151806"/>
  </r>
  <r>
    <n v="1"/>
    <x v="3"/>
    <n v="1"/>
    <n v="7168896"/>
    <n v="12305861"/>
    <x v="0"/>
    <n v="-5136965"/>
    <s v="IT"/>
    <n v="-0.71656291289481677"/>
  </r>
  <r>
    <n v="1"/>
    <x v="3"/>
    <n v="2"/>
    <n v="10887357"/>
    <n v="49668009"/>
    <x v="0"/>
    <n v="-38780652"/>
    <s v="IT"/>
    <n v="-3.56198956275614"/>
  </r>
  <r>
    <n v="1"/>
    <x v="3"/>
    <n v="3"/>
    <n v="20850868"/>
    <n v="38421365"/>
    <x v="0"/>
    <n v="-17570497"/>
    <s v="IT"/>
    <n v="-0.8426746071194734"/>
  </r>
  <r>
    <n v="1"/>
    <x v="3"/>
    <n v="4"/>
    <n v="48360542"/>
    <n v="19707956"/>
    <x v="0"/>
    <n v="28652586"/>
    <s v="IT"/>
    <n v="0.59247859546321879"/>
  </r>
  <r>
    <n v="2"/>
    <x v="0"/>
    <n v="1"/>
    <n v="40119590"/>
    <n v="25186084"/>
    <x v="1"/>
    <n v="14933506"/>
    <s v="Finance"/>
    <n v="0.37222479093131311"/>
  </r>
  <r>
    <n v="2"/>
    <x v="0"/>
    <n v="2"/>
    <n v="40809900"/>
    <n v="8590503"/>
    <x v="1"/>
    <n v="32219397"/>
    <s v="Finance"/>
    <n v="0.78949953320150257"/>
  </r>
  <r>
    <n v="2"/>
    <x v="0"/>
    <n v="3"/>
    <n v="13542746"/>
    <n v="16103102"/>
    <x v="1"/>
    <n v="-2560356"/>
    <s v="Finance"/>
    <n v="-0.18905737433161635"/>
  </r>
  <r>
    <n v="2"/>
    <x v="0"/>
    <n v="4"/>
    <n v="6284787"/>
    <n v="7985167"/>
    <x v="1"/>
    <n v="-1700380"/>
    <s v="Finance"/>
    <n v="-0.27055491299864259"/>
  </r>
  <r>
    <n v="2"/>
    <x v="1"/>
    <n v="1"/>
    <n v="20877482"/>
    <n v="34302258"/>
    <x v="1"/>
    <n v="-13424776"/>
    <s v="Finance"/>
    <n v="-0.64302658721008599"/>
  </r>
  <r>
    <n v="2"/>
    <x v="1"/>
    <n v="2"/>
    <n v="6980557"/>
    <n v="32003570"/>
    <x v="1"/>
    <n v="-25023013"/>
    <s v="Finance"/>
    <n v="-3.5846728276840945"/>
  </r>
  <r>
    <n v="2"/>
    <x v="1"/>
    <n v="3"/>
    <n v="17163289"/>
    <n v="53225144"/>
    <x v="1"/>
    <n v="-36061855"/>
    <s v="Finance"/>
    <n v="-2.1011039900336117"/>
  </r>
  <r>
    <n v="2"/>
    <x v="1"/>
    <n v="4"/>
    <n v="4887416"/>
    <n v="22177781"/>
    <x v="1"/>
    <n v="-17290365"/>
    <s v="Finance"/>
    <n v="-3.5377313901660918"/>
  </r>
  <r>
    <n v="2"/>
    <x v="2"/>
    <n v="1"/>
    <n v="24703276"/>
    <n v="30162403"/>
    <x v="1"/>
    <n v="-5459127"/>
    <s v="Finance"/>
    <n v="-0.22098797746501314"/>
  </r>
  <r>
    <n v="2"/>
    <x v="2"/>
    <n v="2"/>
    <n v="31713992"/>
    <n v="950851"/>
    <x v="1"/>
    <n v="30763141"/>
    <s v="Finance"/>
    <n v="0.97001793403996572"/>
  </r>
  <r>
    <n v="2"/>
    <x v="2"/>
    <n v="3"/>
    <n v="32475309"/>
    <n v="15240619"/>
    <x v="1"/>
    <n v="17234690"/>
    <s v="Finance"/>
    <n v="0.53070133990103063"/>
  </r>
  <r>
    <n v="2"/>
    <x v="2"/>
    <n v="4"/>
    <n v="41980537"/>
    <n v="30896394"/>
    <x v="1"/>
    <n v="11084143"/>
    <s v="Finance"/>
    <n v="0.26403051966676844"/>
  </r>
  <r>
    <n v="2"/>
    <x v="3"/>
    <n v="1"/>
    <n v="32543470"/>
    <n v="23889349"/>
    <x v="1"/>
    <n v="8654121"/>
    <s v="Finance"/>
    <n v="0.26592496129023735"/>
  </r>
  <r>
    <n v="2"/>
    <x v="3"/>
    <n v="2"/>
    <n v="20288357"/>
    <n v="25472317"/>
    <x v="1"/>
    <n v="-5183960"/>
    <s v="Finance"/>
    <n v="-0.25551403694246905"/>
  </r>
  <r>
    <n v="2"/>
    <x v="3"/>
    <n v="3"/>
    <n v="704651"/>
    <n v="10844354"/>
    <x v="1"/>
    <n v="-10139703"/>
    <s v="Finance"/>
    <n v="-14.389680849101186"/>
  </r>
  <r>
    <n v="2"/>
    <x v="3"/>
    <n v="4"/>
    <n v="46916742"/>
    <n v="9286313"/>
    <x v="1"/>
    <n v="37630429"/>
    <s v="Finance"/>
    <n v="0.80206824676785959"/>
  </r>
  <r>
    <n v="3"/>
    <x v="0"/>
    <n v="1"/>
    <n v="44205995"/>
    <n v="51219520"/>
    <x v="2"/>
    <n v="-7013525"/>
    <s v="FMCG"/>
    <n v="-0.15865551719851573"/>
  </r>
  <r>
    <n v="3"/>
    <x v="0"/>
    <n v="2"/>
    <n v="42094300"/>
    <n v="38417741"/>
    <x v="2"/>
    <n v="3676559"/>
    <s v="FMCG"/>
    <n v="8.7341017667475165E-2"/>
  </r>
  <r>
    <n v="3"/>
    <x v="0"/>
    <n v="3"/>
    <n v="16644710"/>
    <n v="48077176"/>
    <x v="2"/>
    <n v="-31432466"/>
    <s v="FMCG"/>
    <n v="-1.8884357853035589"/>
  </r>
  <r>
    <n v="3"/>
    <x v="0"/>
    <n v="4"/>
    <n v="7520357"/>
    <n v="51914895"/>
    <x v="2"/>
    <n v="-44394538"/>
    <s v="FMCG"/>
    <n v="-5.9032487420477509"/>
  </r>
  <r>
    <n v="3"/>
    <x v="1"/>
    <n v="1"/>
    <n v="38353658"/>
    <n v="23530286"/>
    <x v="2"/>
    <n v="14823372"/>
    <s v="FMCG"/>
    <n v="0.38649173958843769"/>
  </r>
  <r>
    <n v="3"/>
    <x v="1"/>
    <n v="2"/>
    <n v="31541576"/>
    <n v="17461806"/>
    <x v="2"/>
    <n v="14079770"/>
    <s v="FMCG"/>
    <n v="0.44638765038246664"/>
  </r>
  <r>
    <n v="3"/>
    <x v="1"/>
    <n v="3"/>
    <n v="48830497"/>
    <n v="14492839"/>
    <x v="2"/>
    <n v="34337658"/>
    <s v="FMCG"/>
    <n v="0.70320107534436926"/>
  </r>
  <r>
    <n v="3"/>
    <x v="1"/>
    <n v="4"/>
    <n v="48793214"/>
    <n v="49989273"/>
    <x v="2"/>
    <n v="-1196059"/>
    <s v="FMCG"/>
    <n v="-2.4512814425383004E-2"/>
  </r>
  <r>
    <n v="3"/>
    <x v="2"/>
    <n v="1"/>
    <n v="37091277"/>
    <n v="10468833"/>
    <x v="2"/>
    <n v="26622444"/>
    <s v="FMCG"/>
    <n v="0.71775485109342552"/>
  </r>
  <r>
    <n v="3"/>
    <x v="2"/>
    <n v="2"/>
    <n v="29188955"/>
    <n v="44336233"/>
    <x v="2"/>
    <n v="-15147278"/>
    <s v="FMCG"/>
    <n v="-0.51893868759604445"/>
  </r>
  <r>
    <n v="3"/>
    <x v="2"/>
    <n v="3"/>
    <n v="21590222"/>
    <n v="19591070"/>
    <x v="2"/>
    <n v="1999152"/>
    <s v="FMCG"/>
    <n v="9.2595249831150417E-2"/>
  </r>
  <r>
    <n v="3"/>
    <x v="2"/>
    <n v="4"/>
    <n v="9686585"/>
    <n v="50558320"/>
    <x v="2"/>
    <n v="-40871735"/>
    <s v="FMCG"/>
    <n v="-4.2194163371301654"/>
  </r>
  <r>
    <n v="3"/>
    <x v="3"/>
    <n v="1"/>
    <n v="12734365"/>
    <n v="4953257"/>
    <x v="2"/>
    <n v="7781108"/>
    <s v="FMCG"/>
    <n v="0.61103227369405544"/>
  </r>
  <r>
    <n v="3"/>
    <x v="3"/>
    <n v="2"/>
    <n v="7670847"/>
    <n v="33527664"/>
    <x v="2"/>
    <n v="-25856817"/>
    <s v="FMCG"/>
    <n v="-3.3707903442735856"/>
  </r>
  <r>
    <n v="3"/>
    <x v="3"/>
    <n v="3"/>
    <n v="39722172"/>
    <n v="39273080"/>
    <x v="2"/>
    <n v="449092"/>
    <s v="FMCG"/>
    <n v="1.1305826881772729E-2"/>
  </r>
  <r>
    <n v="3"/>
    <x v="3"/>
    <n v="4"/>
    <n v="43854528"/>
    <n v="1460300"/>
    <x v="2"/>
    <n v="42394228"/>
    <s v="FMCG"/>
    <n v="0.96670127198723932"/>
  </r>
  <r>
    <n v="4"/>
    <x v="0"/>
    <n v="1"/>
    <n v="22674193"/>
    <n v="21823404"/>
    <x v="3"/>
    <n v="850789"/>
    <s v="EdTech"/>
    <n v="3.7522349748015285E-2"/>
  </r>
  <r>
    <n v="4"/>
    <x v="0"/>
    <n v="2"/>
    <n v="49003256"/>
    <n v="50884236"/>
    <x v="3"/>
    <n v="-1880980"/>
    <s v="EdTech"/>
    <n v="-3.838479630822899E-2"/>
  </r>
  <r>
    <n v="4"/>
    <x v="0"/>
    <n v="3"/>
    <n v="1762943"/>
    <n v="31662384"/>
    <x v="3"/>
    <n v="-29899441"/>
    <s v="EdTech"/>
    <n v="-16.959959000376077"/>
  </r>
  <r>
    <n v="4"/>
    <x v="0"/>
    <n v="4"/>
    <n v="3808724"/>
    <n v="55641008"/>
    <x v="3"/>
    <n v="-51832284"/>
    <s v="EdTech"/>
    <n v="-13.608831724220501"/>
  </r>
  <r>
    <n v="4"/>
    <x v="1"/>
    <n v="1"/>
    <n v="42235613"/>
    <n v="50950717"/>
    <x v="3"/>
    <n v="-8715104"/>
    <s v="EdTech"/>
    <n v="-0.20634491560475279"/>
  </r>
  <r>
    <n v="4"/>
    <x v="1"/>
    <n v="2"/>
    <n v="3968642"/>
    <n v="39769074"/>
    <x v="3"/>
    <n v="-35800432"/>
    <s v="EdTech"/>
    <n v="-9.0208267714749777"/>
  </r>
  <r>
    <n v="4"/>
    <x v="1"/>
    <n v="3"/>
    <n v="17517592"/>
    <n v="29123723"/>
    <x v="3"/>
    <n v="-11606131"/>
    <s v="EdTech"/>
    <n v="-0.6625414611779975"/>
  </r>
  <r>
    <n v="4"/>
    <x v="1"/>
    <n v="4"/>
    <n v="17432575"/>
    <n v="57463411"/>
    <x v="3"/>
    <n v="-40030836"/>
    <s v="EdTech"/>
    <n v="-2.2963237502204925"/>
  </r>
  <r>
    <n v="4"/>
    <x v="2"/>
    <n v="1"/>
    <n v="29160085"/>
    <n v="32264165"/>
    <x v="3"/>
    <n v="-3104080"/>
    <s v="EdTech"/>
    <n v="-0.10644962111735957"/>
  </r>
  <r>
    <n v="4"/>
    <x v="2"/>
    <n v="2"/>
    <n v="48273989"/>
    <n v="56566982"/>
    <x v="3"/>
    <n v="-8292993"/>
    <s v="EdTech"/>
    <n v="-0.17179009176142457"/>
  </r>
  <r>
    <n v="4"/>
    <x v="2"/>
    <n v="3"/>
    <n v="7236925"/>
    <n v="3639752"/>
    <x v="3"/>
    <n v="3597173"/>
    <s v="EdTech"/>
    <n v="0.49705821187866395"/>
  </r>
  <r>
    <n v="4"/>
    <x v="2"/>
    <n v="4"/>
    <n v="41854277"/>
    <n v="18053700"/>
    <x v="3"/>
    <n v="23800577"/>
    <s v="EdTech"/>
    <n v="0.56865340189725411"/>
  </r>
  <r>
    <n v="4"/>
    <x v="3"/>
    <n v="1"/>
    <n v="7700187"/>
    <n v="18884347"/>
    <x v="3"/>
    <n v="-11184160"/>
    <s v="EdTech"/>
    <n v="-1.4524530378288216"/>
  </r>
  <r>
    <n v="4"/>
    <x v="3"/>
    <n v="2"/>
    <n v="29250916"/>
    <n v="13244072"/>
    <x v="3"/>
    <n v="16006844"/>
    <s v="EdTech"/>
    <n v="0.54722539287316674"/>
  </r>
  <r>
    <n v="4"/>
    <x v="3"/>
    <n v="3"/>
    <n v="24097130"/>
    <n v="7215264"/>
    <x v="3"/>
    <n v="16881866"/>
    <s v="EdTech"/>
    <n v="0.70057579471082243"/>
  </r>
  <r>
    <n v="4"/>
    <x v="3"/>
    <n v="4"/>
    <n v="16306236"/>
    <n v="3607058"/>
    <x v="3"/>
    <n v="12699178"/>
    <s v="EdTech"/>
    <n v="0.77879272690521595"/>
  </r>
  <r>
    <n v="5"/>
    <x v="0"/>
    <n v="1"/>
    <n v="45068891"/>
    <n v="17534822"/>
    <x v="4"/>
    <n v="27534069"/>
    <s v="IT"/>
    <n v="0.61093291601073563"/>
  </r>
  <r>
    <n v="5"/>
    <x v="0"/>
    <n v="2"/>
    <n v="7503645"/>
    <n v="23214718"/>
    <x v="4"/>
    <n v="-15711073"/>
    <s v="IT"/>
    <n v="-2.0937921503482642"/>
  </r>
  <r>
    <n v="5"/>
    <x v="0"/>
    <n v="3"/>
    <n v="2797558"/>
    <n v="38738751"/>
    <x v="4"/>
    <n v="-35941193"/>
    <s v="IT"/>
    <n v="-12.847345077385349"/>
  </r>
  <r>
    <n v="5"/>
    <x v="0"/>
    <n v="4"/>
    <n v="22200911"/>
    <n v="34511402"/>
    <x v="4"/>
    <n v="-12310491"/>
    <s v="IT"/>
    <n v="-0.55450386698095411"/>
  </r>
  <r>
    <n v="5"/>
    <x v="1"/>
    <n v="1"/>
    <n v="13386156"/>
    <n v="37825723"/>
    <x v="4"/>
    <n v="-24439567"/>
    <s v="IT"/>
    <n v="-1.8257345125815059"/>
  </r>
  <r>
    <n v="5"/>
    <x v="1"/>
    <n v="2"/>
    <n v="36472618"/>
    <n v="42089852"/>
    <x v="4"/>
    <n v="-5617234"/>
    <s v="IT"/>
    <n v="-0.15401236072496907"/>
  </r>
  <r>
    <n v="5"/>
    <x v="1"/>
    <n v="3"/>
    <n v="39138255"/>
    <n v="4730070"/>
    <x v="4"/>
    <n v="34408185"/>
    <s v="IT"/>
    <n v="0.87914458628776371"/>
  </r>
  <r>
    <n v="5"/>
    <x v="1"/>
    <n v="4"/>
    <n v="23917036"/>
    <n v="55267350"/>
    <x v="4"/>
    <n v="-31350314"/>
    <s v="IT"/>
    <n v="-1.3107942806959858"/>
  </r>
  <r>
    <n v="5"/>
    <x v="2"/>
    <n v="1"/>
    <n v="29506152"/>
    <n v="30100562"/>
    <x v="4"/>
    <n v="-594410"/>
    <s v="IT"/>
    <n v="-2.0145290378765758E-2"/>
  </r>
  <r>
    <n v="5"/>
    <x v="2"/>
    <n v="2"/>
    <n v="27062864"/>
    <n v="31612486"/>
    <x v="4"/>
    <n v="-4549622"/>
    <s v="IT"/>
    <n v="-0.16811310140715335"/>
  </r>
  <r>
    <n v="5"/>
    <x v="2"/>
    <n v="3"/>
    <n v="44652860"/>
    <n v="56345317"/>
    <x v="4"/>
    <n v="-11692457"/>
    <s v="IT"/>
    <n v="-0.2618523651116636"/>
  </r>
  <r>
    <n v="5"/>
    <x v="2"/>
    <n v="4"/>
    <n v="32046888"/>
    <n v="42253751"/>
    <x v="4"/>
    <n v="-10206863"/>
    <s v="IT"/>
    <n v="-0.31849778986340266"/>
  </r>
  <r>
    <n v="5"/>
    <x v="3"/>
    <n v="1"/>
    <n v="17414078"/>
    <n v="39825677"/>
    <x v="4"/>
    <n v="-22411599"/>
    <s v="IT"/>
    <n v="-1.2869816593218428"/>
  </r>
  <r>
    <n v="5"/>
    <x v="3"/>
    <n v="2"/>
    <n v="44883318"/>
    <n v="51274570"/>
    <x v="4"/>
    <n v="-6391252"/>
    <s v="IT"/>
    <n v="-0.14239704827526342"/>
  </r>
  <r>
    <n v="5"/>
    <x v="3"/>
    <n v="3"/>
    <n v="15617412"/>
    <n v="4999222"/>
    <x v="4"/>
    <n v="10618190"/>
    <s v="IT"/>
    <n v="0.67989433844736891"/>
  </r>
  <r>
    <n v="5"/>
    <x v="3"/>
    <n v="4"/>
    <n v="29153835"/>
    <n v="16045591"/>
    <x v="4"/>
    <n v="13108244"/>
    <s v="IT"/>
    <n v="0.449623317138208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n v="1"/>
    <n v="2021"/>
    <n v="1"/>
    <n v="2743415"/>
    <x v="0"/>
    <x v="0"/>
    <s v="2021-Q1"/>
  </r>
  <r>
    <n v="1"/>
    <n v="1"/>
    <n v="2022"/>
    <n v="3"/>
    <n v="5763938"/>
    <x v="0"/>
    <x v="0"/>
    <s v="2022-Q3"/>
  </r>
  <r>
    <n v="1"/>
    <n v="1"/>
    <n v="2023"/>
    <n v="2"/>
    <n v="4940831"/>
    <x v="0"/>
    <x v="0"/>
    <s v="2023-Q2"/>
  </r>
  <r>
    <n v="1"/>
    <n v="1"/>
    <n v="2023"/>
    <n v="4"/>
    <n v="6620619"/>
    <x v="0"/>
    <x v="0"/>
    <s v="2023-Q4"/>
  </r>
  <r>
    <n v="1"/>
    <n v="2"/>
    <n v="2021"/>
    <n v="3"/>
    <n v="862989"/>
    <x v="0"/>
    <x v="1"/>
    <s v="2021-Q3"/>
  </r>
  <r>
    <n v="1"/>
    <n v="2"/>
    <n v="2022"/>
    <n v="1"/>
    <n v="9551540"/>
    <x v="0"/>
    <x v="1"/>
    <s v="2022-Q1"/>
  </r>
  <r>
    <n v="1"/>
    <n v="2"/>
    <n v="2022"/>
    <n v="2"/>
    <n v="8058193"/>
    <x v="0"/>
    <x v="1"/>
    <s v="2022-Q2"/>
  </r>
  <r>
    <n v="1"/>
    <n v="2"/>
    <n v="2023"/>
    <n v="4"/>
    <n v="2844433"/>
    <x v="0"/>
    <x v="1"/>
    <s v="2023-Q4"/>
  </r>
  <r>
    <n v="1"/>
    <n v="3"/>
    <n v="2020"/>
    <n v="2"/>
    <n v="2226450"/>
    <x v="0"/>
    <x v="2"/>
    <s v="2020-Q2"/>
  </r>
  <r>
    <n v="1"/>
    <n v="3"/>
    <n v="2020"/>
    <n v="3"/>
    <n v="5824423"/>
    <x v="0"/>
    <x v="2"/>
    <s v="2020-Q3"/>
  </r>
  <r>
    <n v="1"/>
    <n v="3"/>
    <n v="2023"/>
    <n v="1"/>
    <n v="4701169"/>
    <x v="0"/>
    <x v="2"/>
    <s v="2023-Q1"/>
  </r>
  <r>
    <n v="1"/>
    <n v="3"/>
    <n v="2023"/>
    <n v="4"/>
    <n v="7683830"/>
    <x v="0"/>
    <x v="2"/>
    <s v="2023-Q4"/>
  </r>
  <r>
    <n v="1"/>
    <n v="4"/>
    <n v="2020"/>
    <n v="1"/>
    <n v="9011864"/>
    <x v="0"/>
    <x v="3"/>
    <s v="2020-Q1"/>
  </r>
  <r>
    <n v="1"/>
    <n v="4"/>
    <n v="2022"/>
    <n v="3"/>
    <n v="2234030"/>
    <x v="0"/>
    <x v="3"/>
    <s v="2022-Q3"/>
  </r>
  <r>
    <n v="1"/>
    <n v="4"/>
    <n v="2022"/>
    <n v="4"/>
    <n v="1246026"/>
    <x v="0"/>
    <x v="3"/>
    <s v="2022-Q4"/>
  </r>
  <r>
    <n v="1"/>
    <n v="4"/>
    <n v="2023"/>
    <n v="2"/>
    <n v="6406136"/>
    <x v="0"/>
    <x v="3"/>
    <s v="2023-Q2"/>
  </r>
  <r>
    <n v="1"/>
    <n v="5"/>
    <n v="2020"/>
    <n v="1"/>
    <n v="5104449"/>
    <x v="0"/>
    <x v="4"/>
    <s v="2020-Q1"/>
  </r>
  <r>
    <n v="1"/>
    <n v="5"/>
    <n v="2021"/>
    <n v="4"/>
    <n v="3840013"/>
    <x v="0"/>
    <x v="4"/>
    <s v="2021-Q4"/>
  </r>
  <r>
    <n v="1"/>
    <n v="5"/>
    <n v="2022"/>
    <n v="2"/>
    <n v="1158652"/>
    <x v="0"/>
    <x v="4"/>
    <s v="2022-Q2"/>
  </r>
  <r>
    <n v="1"/>
    <n v="5"/>
    <n v="2023"/>
    <n v="3"/>
    <n v="6818634"/>
    <x v="0"/>
    <x v="4"/>
    <s v="2023-Q3"/>
  </r>
  <r>
    <n v="2"/>
    <n v="1"/>
    <n v="2020"/>
    <n v="2"/>
    <n v="3406251"/>
    <x v="1"/>
    <x v="0"/>
    <s v="2020-Q2"/>
  </r>
  <r>
    <n v="2"/>
    <n v="1"/>
    <n v="2022"/>
    <n v="1"/>
    <n v="8270892"/>
    <x v="1"/>
    <x v="0"/>
    <s v="2022-Q1"/>
  </r>
  <r>
    <n v="2"/>
    <n v="1"/>
    <n v="2022"/>
    <n v="3"/>
    <n v="2404645"/>
    <x v="1"/>
    <x v="0"/>
    <s v="2022-Q3"/>
  </r>
  <r>
    <n v="2"/>
    <n v="1"/>
    <n v="2022"/>
    <n v="4"/>
    <n v="6909924"/>
    <x v="1"/>
    <x v="0"/>
    <s v="2022-Q4"/>
  </r>
  <r>
    <n v="2"/>
    <n v="2"/>
    <n v="2021"/>
    <n v="1"/>
    <n v="1418524"/>
    <x v="1"/>
    <x v="1"/>
    <s v="2021-Q1"/>
  </r>
  <r>
    <n v="2"/>
    <n v="2"/>
    <n v="2021"/>
    <n v="2"/>
    <n v="6286049"/>
    <x v="1"/>
    <x v="1"/>
    <s v="2021-Q2"/>
  </r>
  <r>
    <n v="2"/>
    <n v="2"/>
    <n v="2021"/>
    <n v="3"/>
    <n v="1683791"/>
    <x v="1"/>
    <x v="1"/>
    <s v="2021-Q3"/>
  </r>
  <r>
    <n v="2"/>
    <n v="2"/>
    <n v="2022"/>
    <n v="4"/>
    <n v="7649923"/>
    <x v="1"/>
    <x v="1"/>
    <s v="2022-Q4"/>
  </r>
  <r>
    <n v="2"/>
    <n v="3"/>
    <n v="2020"/>
    <n v="2"/>
    <n v="9433397"/>
    <x v="1"/>
    <x v="2"/>
    <s v="2020-Q2"/>
  </r>
  <r>
    <n v="2"/>
    <n v="3"/>
    <n v="2023"/>
    <n v="1"/>
    <n v="3680337"/>
    <x v="1"/>
    <x v="2"/>
    <s v="2023-Q1"/>
  </r>
  <r>
    <n v="2"/>
    <n v="3"/>
    <n v="2023"/>
    <n v="3"/>
    <n v="4327711"/>
    <x v="1"/>
    <x v="2"/>
    <s v="2023-Q3"/>
  </r>
  <r>
    <n v="2"/>
    <n v="3"/>
    <n v="2023"/>
    <n v="4"/>
    <n v="2722453"/>
    <x v="1"/>
    <x v="2"/>
    <s v="2023-Q4"/>
  </r>
  <r>
    <n v="2"/>
    <n v="4"/>
    <n v="2020"/>
    <n v="2"/>
    <n v="2449777"/>
    <x v="1"/>
    <x v="3"/>
    <s v="2020-Q2"/>
  </r>
  <r>
    <n v="2"/>
    <n v="4"/>
    <n v="2020"/>
    <n v="4"/>
    <n v="1666515"/>
    <x v="1"/>
    <x v="3"/>
    <s v="2020-Q4"/>
  </r>
  <r>
    <n v="2"/>
    <n v="4"/>
    <n v="2022"/>
    <n v="3"/>
    <n v="6340060"/>
    <x v="1"/>
    <x v="3"/>
    <s v="2022-Q3"/>
  </r>
  <r>
    <n v="2"/>
    <n v="4"/>
    <n v="2023"/>
    <n v="1"/>
    <n v="3555308"/>
    <x v="1"/>
    <x v="3"/>
    <s v="2023-Q1"/>
  </r>
  <r>
    <n v="2"/>
    <n v="5"/>
    <n v="2020"/>
    <n v="1"/>
    <n v="2259874"/>
    <x v="1"/>
    <x v="4"/>
    <s v="2020-Q1"/>
  </r>
  <r>
    <n v="2"/>
    <n v="5"/>
    <n v="2020"/>
    <n v="4"/>
    <n v="4791843"/>
    <x v="1"/>
    <x v="4"/>
    <s v="2020-Q4"/>
  </r>
  <r>
    <n v="2"/>
    <n v="5"/>
    <n v="2022"/>
    <n v="2"/>
    <n v="3410037"/>
    <x v="1"/>
    <x v="4"/>
    <s v="2022-Q2"/>
  </r>
  <r>
    <n v="2"/>
    <n v="5"/>
    <n v="2023"/>
    <n v="3"/>
    <n v="3311198"/>
    <x v="1"/>
    <x v="4"/>
    <s v="2023-Q3"/>
  </r>
  <r>
    <n v="3"/>
    <n v="1"/>
    <n v="2021"/>
    <n v="1"/>
    <n v="6636637"/>
    <x v="2"/>
    <x v="0"/>
    <s v="2021-Q1"/>
  </r>
  <r>
    <n v="3"/>
    <n v="1"/>
    <n v="2021"/>
    <n v="3"/>
    <n v="4016824"/>
    <x v="2"/>
    <x v="0"/>
    <s v="2021-Q3"/>
  </r>
  <r>
    <n v="3"/>
    <n v="1"/>
    <n v="2022"/>
    <n v="2"/>
    <n v="5306049"/>
    <x v="2"/>
    <x v="0"/>
    <s v="2022-Q2"/>
  </r>
  <r>
    <n v="3"/>
    <n v="1"/>
    <n v="2023"/>
    <n v="4"/>
    <n v="6214042"/>
    <x v="2"/>
    <x v="0"/>
    <s v="2023-Q4"/>
  </r>
  <r>
    <n v="3"/>
    <n v="2"/>
    <n v="2020"/>
    <n v="4"/>
    <n v="2465833"/>
    <x v="2"/>
    <x v="1"/>
    <s v="2020-Q4"/>
  </r>
  <r>
    <n v="3"/>
    <n v="2"/>
    <n v="2021"/>
    <n v="3"/>
    <n v="8020954"/>
    <x v="2"/>
    <x v="1"/>
    <s v="2021-Q3"/>
  </r>
  <r>
    <n v="3"/>
    <n v="2"/>
    <n v="2023"/>
    <n v="1"/>
    <n v="4244417"/>
    <x v="2"/>
    <x v="1"/>
    <s v="2023-Q1"/>
  </r>
  <r>
    <n v="3"/>
    <n v="2"/>
    <n v="2023"/>
    <n v="2"/>
    <n v="8387404"/>
    <x v="2"/>
    <x v="1"/>
    <s v="2023-Q2"/>
  </r>
  <r>
    <n v="3"/>
    <n v="3"/>
    <n v="2020"/>
    <n v="3"/>
    <n v="4682350"/>
    <x v="2"/>
    <x v="2"/>
    <s v="2020-Q3"/>
  </r>
  <r>
    <n v="3"/>
    <n v="3"/>
    <n v="2021"/>
    <n v="2"/>
    <n v="4916508"/>
    <x v="2"/>
    <x v="2"/>
    <s v="2021-Q2"/>
  </r>
  <r>
    <n v="3"/>
    <n v="3"/>
    <n v="2022"/>
    <n v="4"/>
    <n v="5826044"/>
    <x v="2"/>
    <x v="2"/>
    <s v="2022-Q4"/>
  </r>
  <r>
    <n v="3"/>
    <n v="3"/>
    <n v="2023"/>
    <n v="1"/>
    <n v="5949459"/>
    <x v="2"/>
    <x v="2"/>
    <s v="2023-Q1"/>
  </r>
  <r>
    <n v="3"/>
    <n v="4"/>
    <n v="2020"/>
    <n v="2"/>
    <n v="4881594"/>
    <x v="2"/>
    <x v="3"/>
    <s v="2020-Q2"/>
  </r>
  <r>
    <n v="3"/>
    <n v="4"/>
    <n v="2021"/>
    <n v="1"/>
    <n v="3727549"/>
    <x v="2"/>
    <x v="3"/>
    <s v="2021-Q1"/>
  </r>
  <r>
    <n v="3"/>
    <n v="4"/>
    <n v="2021"/>
    <n v="4"/>
    <n v="5356999"/>
    <x v="2"/>
    <x v="3"/>
    <s v="2021-Q4"/>
  </r>
  <r>
    <n v="3"/>
    <n v="4"/>
    <n v="2023"/>
    <n v="3"/>
    <n v="3594280"/>
    <x v="2"/>
    <x v="3"/>
    <s v="2023-Q3"/>
  </r>
  <r>
    <n v="3"/>
    <n v="5"/>
    <n v="2022"/>
    <n v="3"/>
    <n v="8317777"/>
    <x v="2"/>
    <x v="4"/>
    <s v="2022-Q3"/>
  </r>
  <r>
    <n v="3"/>
    <n v="5"/>
    <n v="2023"/>
    <n v="1"/>
    <n v="3737909"/>
    <x v="2"/>
    <x v="4"/>
    <s v="2023-Q1"/>
  </r>
  <r>
    <n v="3"/>
    <n v="5"/>
    <n v="2023"/>
    <n v="2"/>
    <n v="9085035"/>
    <x v="2"/>
    <x v="4"/>
    <s v="2023-Q2"/>
  </r>
  <r>
    <n v="3"/>
    <n v="5"/>
    <n v="2023"/>
    <n v="4"/>
    <n v="245126"/>
    <x v="2"/>
    <x v="4"/>
    <s v="2023-Q4"/>
  </r>
  <r>
    <n v="4"/>
    <n v="1"/>
    <n v="2020"/>
    <n v="4"/>
    <n v="4376268"/>
    <x v="3"/>
    <x v="0"/>
    <s v="2020-Q4"/>
  </r>
  <r>
    <n v="4"/>
    <n v="1"/>
    <n v="2021"/>
    <n v="1"/>
    <n v="5920703"/>
    <x v="3"/>
    <x v="0"/>
    <s v="2021-Q1"/>
  </r>
  <r>
    <n v="4"/>
    <n v="1"/>
    <n v="2021"/>
    <n v="2"/>
    <n v="8734969"/>
    <x v="3"/>
    <x v="0"/>
    <s v="2021-Q2"/>
  </r>
  <r>
    <n v="4"/>
    <n v="1"/>
    <n v="2021"/>
    <n v="3"/>
    <n v="6111981"/>
    <x v="3"/>
    <x v="0"/>
    <s v="2021-Q3"/>
  </r>
  <r>
    <n v="4"/>
    <n v="2"/>
    <n v="2021"/>
    <n v="1"/>
    <n v="9867460"/>
    <x v="3"/>
    <x v="1"/>
    <s v="2021-Q1"/>
  </r>
  <r>
    <n v="4"/>
    <n v="2"/>
    <n v="2021"/>
    <n v="2"/>
    <n v="9491706"/>
    <x v="3"/>
    <x v="1"/>
    <s v="2021-Q2"/>
  </r>
  <r>
    <n v="4"/>
    <n v="2"/>
    <n v="2021"/>
    <n v="3"/>
    <n v="5523942"/>
    <x v="3"/>
    <x v="1"/>
    <s v="2021-Q3"/>
  </r>
  <r>
    <n v="4"/>
    <n v="2"/>
    <n v="2022"/>
    <n v="4"/>
    <n v="3984727"/>
    <x v="3"/>
    <x v="1"/>
    <s v="2022-Q4"/>
  </r>
  <r>
    <n v="4"/>
    <n v="3"/>
    <n v="2020"/>
    <n v="4"/>
    <n v="6570635"/>
    <x v="3"/>
    <x v="2"/>
    <s v="2020-Q4"/>
  </r>
  <r>
    <n v="4"/>
    <n v="3"/>
    <n v="2021"/>
    <n v="2"/>
    <n v="930205"/>
    <x v="3"/>
    <x v="2"/>
    <s v="2021-Q2"/>
  </r>
  <r>
    <n v="4"/>
    <n v="3"/>
    <n v="2022"/>
    <n v="3"/>
    <n v="8019056"/>
    <x v="3"/>
    <x v="2"/>
    <s v="2022-Q3"/>
  </r>
  <r>
    <n v="4"/>
    <n v="3"/>
    <n v="2023"/>
    <n v="1"/>
    <n v="9008423"/>
    <x v="3"/>
    <x v="2"/>
    <s v="2023-Q1"/>
  </r>
  <r>
    <n v="4"/>
    <n v="4"/>
    <n v="2020"/>
    <n v="1"/>
    <n v="8448209"/>
    <x v="3"/>
    <x v="3"/>
    <s v="2020-Q1"/>
  </r>
  <r>
    <n v="4"/>
    <n v="4"/>
    <n v="2020"/>
    <n v="2"/>
    <n v="8644900"/>
    <x v="3"/>
    <x v="3"/>
    <s v="2020-Q2"/>
  </r>
  <r>
    <n v="4"/>
    <n v="4"/>
    <n v="2020"/>
    <n v="4"/>
    <n v="9410096"/>
    <x v="3"/>
    <x v="3"/>
    <s v="2020-Q4"/>
  </r>
  <r>
    <n v="4"/>
    <n v="4"/>
    <n v="2021"/>
    <n v="3"/>
    <n v="4553882"/>
    <x v="3"/>
    <x v="3"/>
    <s v="2021-Q3"/>
  </r>
  <r>
    <n v="4"/>
    <n v="5"/>
    <n v="2020"/>
    <n v="4"/>
    <n v="5673915"/>
    <x v="3"/>
    <x v="4"/>
    <s v="2020-Q4"/>
  </r>
  <r>
    <n v="4"/>
    <n v="5"/>
    <n v="2021"/>
    <n v="1"/>
    <n v="8198836"/>
    <x v="3"/>
    <x v="4"/>
    <s v="2021-Q1"/>
  </r>
  <r>
    <n v="4"/>
    <n v="5"/>
    <n v="2022"/>
    <n v="3"/>
    <n v="7027169"/>
    <x v="3"/>
    <x v="4"/>
    <s v="2022-Q3"/>
  </r>
  <r>
    <n v="4"/>
    <n v="5"/>
    <n v="2023"/>
    <n v="2"/>
    <n v="4485663"/>
    <x v="3"/>
    <x v="4"/>
    <s v="2023-Q2"/>
  </r>
  <r>
    <n v="5"/>
    <n v="1"/>
    <n v="2020"/>
    <n v="2"/>
    <n v="4482018"/>
    <x v="4"/>
    <x v="0"/>
    <s v="2020-Q2"/>
  </r>
  <r>
    <n v="5"/>
    <n v="1"/>
    <n v="2021"/>
    <n v="1"/>
    <n v="9099751"/>
    <x v="4"/>
    <x v="0"/>
    <s v="2021-Q1"/>
  </r>
  <r>
    <n v="5"/>
    <n v="1"/>
    <n v="2021"/>
    <n v="4"/>
    <n v="864219"/>
    <x v="4"/>
    <x v="0"/>
    <s v="2021-Q4"/>
  </r>
  <r>
    <n v="5"/>
    <n v="1"/>
    <n v="2022"/>
    <n v="3"/>
    <n v="5423595"/>
    <x v="4"/>
    <x v="0"/>
    <s v="2022-Q3"/>
  </r>
  <r>
    <n v="5"/>
    <n v="2"/>
    <n v="2021"/>
    <n v="3"/>
    <n v="9112440"/>
    <x v="4"/>
    <x v="1"/>
    <s v="2021-Q3"/>
  </r>
  <r>
    <n v="5"/>
    <n v="2"/>
    <n v="2022"/>
    <n v="2"/>
    <n v="2253109"/>
    <x v="4"/>
    <x v="1"/>
    <s v="2022-Q2"/>
  </r>
  <r>
    <n v="5"/>
    <n v="2"/>
    <n v="2022"/>
    <n v="4"/>
    <n v="4746044"/>
    <x v="4"/>
    <x v="1"/>
    <s v="2022-Q4"/>
  </r>
  <r>
    <n v="5"/>
    <n v="2"/>
    <n v="2023"/>
    <n v="1"/>
    <n v="1040157"/>
    <x v="4"/>
    <x v="1"/>
    <s v="2023-Q1"/>
  </r>
  <r>
    <n v="5"/>
    <n v="3"/>
    <n v="2020"/>
    <n v="2"/>
    <n v="505576"/>
    <x v="4"/>
    <x v="2"/>
    <s v="2020-Q2"/>
  </r>
  <r>
    <n v="5"/>
    <n v="3"/>
    <n v="2021"/>
    <n v="4"/>
    <n v="7075812"/>
    <x v="4"/>
    <x v="2"/>
    <s v="2021-Q4"/>
  </r>
  <r>
    <n v="5"/>
    <n v="3"/>
    <n v="2022"/>
    <n v="1"/>
    <n v="5472117"/>
    <x v="4"/>
    <x v="2"/>
    <s v="2022-Q1"/>
  </r>
  <r>
    <n v="5"/>
    <n v="3"/>
    <n v="2022"/>
    <n v="3"/>
    <n v="1700728"/>
    <x v="4"/>
    <x v="2"/>
    <s v="2022-Q3"/>
  </r>
  <r>
    <n v="5"/>
    <n v="4"/>
    <n v="2020"/>
    <n v="2"/>
    <n v="8290993"/>
    <x v="4"/>
    <x v="3"/>
    <s v="2020-Q2"/>
  </r>
  <r>
    <n v="5"/>
    <n v="4"/>
    <n v="2021"/>
    <n v="3"/>
    <n v="701005"/>
    <x v="4"/>
    <x v="3"/>
    <s v="2021-Q3"/>
  </r>
  <r>
    <n v="5"/>
    <n v="4"/>
    <n v="2022"/>
    <n v="1"/>
    <n v="4856819"/>
    <x v="4"/>
    <x v="3"/>
    <s v="2022-Q1"/>
  </r>
  <r>
    <n v="5"/>
    <n v="4"/>
    <n v="2022"/>
    <n v="4"/>
    <n v="1201573"/>
    <x v="4"/>
    <x v="3"/>
    <s v="2022-Q4"/>
  </r>
  <r>
    <n v="5"/>
    <n v="5"/>
    <n v="2020"/>
    <n v="2"/>
    <n v="2109822"/>
    <x v="4"/>
    <x v="4"/>
    <s v="2020-Q2"/>
  </r>
  <r>
    <n v="5"/>
    <n v="5"/>
    <n v="2021"/>
    <n v="4"/>
    <n v="3325386"/>
    <x v="4"/>
    <x v="4"/>
    <s v="2021-Q4"/>
  </r>
  <r>
    <n v="5"/>
    <n v="5"/>
    <n v="2022"/>
    <n v="1"/>
    <n v="8477898"/>
    <x v="4"/>
    <x v="4"/>
    <s v="2022-Q1"/>
  </r>
  <r>
    <n v="5"/>
    <n v="5"/>
    <n v="2023"/>
    <n v="3"/>
    <n v="2388780"/>
    <x v="4"/>
    <x v="4"/>
    <s v="2023-Q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FA911B-F91D-4E48-B386-B9D16B056499}"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O3:U10" firstHeaderRow="1" firstDataRow="2" firstDataCol="1"/>
  <pivotFields count="8">
    <pivotField numFmtId="1" showAll="0"/>
    <pivotField showAll="0"/>
    <pivotField showAll="0"/>
    <pivotField showAll="0"/>
    <pivotField dataField="1" showAll="0"/>
    <pivotField axis="axisRow" showAll="0">
      <items count="6">
        <item x="3"/>
        <item x="1"/>
        <item x="4"/>
        <item x="2"/>
        <item x="0"/>
        <item t="default"/>
      </items>
    </pivotField>
    <pivotField axis="axisCol" showAll="0">
      <items count="6">
        <item x="3"/>
        <item x="2"/>
        <item x="1"/>
        <item x="0"/>
        <item x="4"/>
        <item t="default"/>
      </items>
    </pivotField>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Sum of expense_amt" fld="4" baseField="0" baseItem="0"/>
  </dataFields>
  <chartFormats count="15">
    <chartFormat chart="1" format="5" series="1">
      <pivotArea type="data" outline="0" fieldPosition="0">
        <references count="2">
          <reference field="4294967294" count="1" selected="0">
            <x v="0"/>
          </reference>
          <reference field="6" count="1" selected="0">
            <x v="0"/>
          </reference>
        </references>
      </pivotArea>
    </chartFormat>
    <chartFormat chart="1" format="6" series="1">
      <pivotArea type="data" outline="0" fieldPosition="0">
        <references count="2">
          <reference field="4294967294" count="1" selected="0">
            <x v="0"/>
          </reference>
          <reference field="6" count="1" selected="0">
            <x v="1"/>
          </reference>
        </references>
      </pivotArea>
    </chartFormat>
    <chartFormat chart="1" format="7" series="1">
      <pivotArea type="data" outline="0" fieldPosition="0">
        <references count="2">
          <reference field="4294967294" count="1" selected="0">
            <x v="0"/>
          </reference>
          <reference field="6" count="1" selected="0">
            <x v="2"/>
          </reference>
        </references>
      </pivotArea>
    </chartFormat>
    <chartFormat chart="1" format="8" series="1">
      <pivotArea type="data" outline="0" fieldPosition="0">
        <references count="2">
          <reference field="4294967294" count="1" selected="0">
            <x v="0"/>
          </reference>
          <reference field="6" count="1" selected="0">
            <x v="3"/>
          </reference>
        </references>
      </pivotArea>
    </chartFormat>
    <chartFormat chart="1" format="9" series="1">
      <pivotArea type="data" outline="0" fieldPosition="0">
        <references count="2">
          <reference field="4294967294" count="1" selected="0">
            <x v="0"/>
          </reference>
          <reference field="6" count="1" selected="0">
            <x v="4"/>
          </reference>
        </references>
      </pivotArea>
    </chartFormat>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series="1">
      <pivotArea type="data" outline="0" fieldPosition="0">
        <references count="2">
          <reference field="4294967294" count="1" selected="0">
            <x v="0"/>
          </reference>
          <reference field="6" count="1" selected="0">
            <x v="4"/>
          </reference>
        </references>
      </pivotArea>
    </chartFormat>
    <chartFormat chart="5" format="20" series="1">
      <pivotArea type="data" outline="0" fieldPosition="0">
        <references count="2">
          <reference field="4294967294" count="1" selected="0">
            <x v="0"/>
          </reference>
          <reference field="6" count="1" selected="0">
            <x v="0"/>
          </reference>
        </references>
      </pivotArea>
    </chartFormat>
    <chartFormat chart="5" format="21" series="1">
      <pivotArea type="data" outline="0" fieldPosition="0">
        <references count="2">
          <reference field="4294967294" count="1" selected="0">
            <x v="0"/>
          </reference>
          <reference field="6" count="1" selected="0">
            <x v="1"/>
          </reference>
        </references>
      </pivotArea>
    </chartFormat>
    <chartFormat chart="5" format="22" series="1">
      <pivotArea type="data" outline="0" fieldPosition="0">
        <references count="2">
          <reference field="4294967294" count="1" selected="0">
            <x v="0"/>
          </reference>
          <reference field="6" count="1" selected="0">
            <x v="2"/>
          </reference>
        </references>
      </pivotArea>
    </chartFormat>
    <chartFormat chart="5" format="23" series="1">
      <pivotArea type="data" outline="0" fieldPosition="0">
        <references count="2">
          <reference field="4294967294" count="1" selected="0">
            <x v="0"/>
          </reference>
          <reference field="6" count="1" selected="0">
            <x v="3"/>
          </reference>
        </references>
      </pivotArea>
    </chartFormat>
    <chartFormat chart="5" format="2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27F1E-D599-465A-9062-F440D66AE33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3:M9" firstHeaderRow="0" firstDataRow="1" firstDataCol="1"/>
  <pivotFields count="10">
    <pivotField showAll="0"/>
    <pivotField showAll="0">
      <items count="5">
        <item x="0"/>
        <item x="1"/>
        <item x="2"/>
        <item x="3"/>
        <item t="default"/>
      </items>
    </pivotField>
    <pivotField showAll="0"/>
    <pivotField dataField="1" showAll="0"/>
    <pivotField dataField="1" showAll="0"/>
    <pivotField axis="axisRow" showAll="0">
      <items count="6">
        <item x="3"/>
        <item x="1"/>
        <item x="4"/>
        <item x="2"/>
        <item x="0"/>
        <item t="default"/>
      </items>
    </pivotField>
    <pivotField showAll="0"/>
    <pivotField showAll="0"/>
    <pivotField numFmtId="10" showAll="0"/>
    <pivotField dataField="1" dragToRow="0" dragToCol="0" dragToPage="0" showAll="0" defaultSubtotal="0"/>
  </pivotFields>
  <rowFields count="1">
    <field x="5"/>
  </rowFields>
  <rowItems count="6">
    <i>
      <x/>
    </i>
    <i>
      <x v="1"/>
    </i>
    <i>
      <x v="2"/>
    </i>
    <i>
      <x v="3"/>
    </i>
    <i>
      <x v="4"/>
    </i>
    <i t="grand">
      <x/>
    </i>
  </rowItems>
  <colFields count="1">
    <field x="-2"/>
  </colFields>
  <colItems count="3">
    <i>
      <x/>
    </i>
    <i i="1">
      <x v="1"/>
    </i>
    <i i="2">
      <x v="2"/>
    </i>
  </colItems>
  <dataFields count="3">
    <dataField name="Sum of revenue" fld="3" baseField="0" baseItem="0"/>
    <dataField name="Sum of expense" fld="4" baseField="5" baseItem="0"/>
    <dataField name="Sum of cost_efficiency" fld="9" baseField="5" baseItem="0"/>
  </dataFields>
  <formats count="1">
    <format dxfId="11">
      <pivotArea dataOnly="0" outline="0" fieldPosition="0">
        <references count="1">
          <reference field="4294967294" count="1">
            <x v="2"/>
          </reference>
        </references>
      </pivotArea>
    </format>
  </formats>
  <chartFormats count="3">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E736C-F19D-4FFA-BBC6-8753167CFD5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G9" firstHeaderRow="1" firstDataRow="2" firstDataCol="1"/>
  <pivotFields count="10">
    <pivotField showAll="0"/>
    <pivotField axis="axisRow" showAll="0">
      <items count="5">
        <item x="0"/>
        <item x="1"/>
        <item x="2"/>
        <item x="3"/>
        <item t="default"/>
      </items>
    </pivotField>
    <pivotField showAll="0"/>
    <pivotField showAll="0"/>
    <pivotField showAll="0"/>
    <pivotField axis="axisCol" showAll="0">
      <items count="6">
        <item x="3"/>
        <item x="1"/>
        <item x="4"/>
        <item x="2"/>
        <item x="0"/>
        <item t="default"/>
      </items>
    </pivotField>
    <pivotField dataField="1" showAll="0"/>
    <pivotField showAll="0"/>
    <pivotField numFmtId="10" showAll="0"/>
    <pivotField dragToRow="0" dragToCol="0" dragToPage="0" showAll="0" defaultSubtotal="0"/>
  </pivotFields>
  <rowFields count="1">
    <field x="1"/>
  </rowFields>
  <rowItems count="5">
    <i>
      <x/>
    </i>
    <i>
      <x v="1"/>
    </i>
    <i>
      <x v="2"/>
    </i>
    <i>
      <x v="3"/>
    </i>
    <i t="grand">
      <x/>
    </i>
  </rowItems>
  <colFields count="1">
    <field x="5"/>
  </colFields>
  <colItems count="6">
    <i>
      <x/>
    </i>
    <i>
      <x v="1"/>
    </i>
    <i>
      <x v="2"/>
    </i>
    <i>
      <x v="3"/>
    </i>
    <i>
      <x v="4"/>
    </i>
    <i t="grand">
      <x/>
    </i>
  </colItems>
  <dataFields count="1">
    <dataField name="Sum of profit" fld="6" baseField="0" baseItem="0"/>
  </dataFields>
  <chartFormats count="5">
    <chartFormat chart="13" format="20" series="1">
      <pivotArea type="data" outline="0" fieldPosition="0">
        <references count="2">
          <reference field="4294967294" count="1" selected="0">
            <x v="0"/>
          </reference>
          <reference field="5" count="1" selected="0">
            <x v="0"/>
          </reference>
        </references>
      </pivotArea>
    </chartFormat>
    <chartFormat chart="13" format="21" series="1">
      <pivotArea type="data" outline="0" fieldPosition="0">
        <references count="2">
          <reference field="4294967294" count="1" selected="0">
            <x v="0"/>
          </reference>
          <reference field="5" count="1" selected="0">
            <x v="1"/>
          </reference>
        </references>
      </pivotArea>
    </chartFormat>
    <chartFormat chart="13" format="22" series="1">
      <pivotArea type="data" outline="0" fieldPosition="0">
        <references count="2">
          <reference field="4294967294" count="1" selected="0">
            <x v="0"/>
          </reference>
          <reference field="5" count="1" selected="0">
            <x v="2"/>
          </reference>
        </references>
      </pivotArea>
    </chartFormat>
    <chartFormat chart="13" format="23" series="1">
      <pivotArea type="data" outline="0" fieldPosition="0">
        <references count="2">
          <reference field="4294967294" count="1" selected="0">
            <x v="0"/>
          </reference>
          <reference field="5" count="1" selected="0">
            <x v="3"/>
          </reference>
        </references>
      </pivotArea>
    </chartFormat>
    <chartFormat chart="13" format="2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822E41F-9612-4840-B164-8ACAA18C8FB6}" sourceName="year">
  <pivotTables>
    <pivotTable tabId="9" name="PivotTable4"/>
    <pivotTable tabId="9" name="PivotTable5"/>
  </pivotTables>
  <data>
    <tabular pivotCacheId="174780448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D24E9DFE-A2F5-4C39-9D97-D1779321B1B9}" sourceName="company_name">
  <pivotTables>
    <pivotTable tabId="9" name="PivotTable4"/>
    <pivotTable tabId="9" name="PivotTable5"/>
  </pivotTables>
  <data>
    <tabular pivotCacheId="1747804483">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1A70D9-7AF1-401B-915F-E57FD559E17B}" cache="Slicer_year" caption="year" style="SlicerStyleLight2" rowHeight="241300"/>
  <slicer name="company_name" xr10:uid="{00F9CF8D-91B5-4D87-9194-141B45E13099}" cache="Slicer_company_name" caption="company_nam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2A9E57-6227-49CA-8518-BF8D66DAF595}" name="companies" displayName="companies" ref="A1:C6" totalsRowShown="0" headerRowDxfId="52" dataDxfId="50" headerRowBorderDxfId="51" tableBorderDxfId="49" totalsRowBorderDxfId="48">
  <autoFilter ref="A1:C6" xr:uid="{702A9E57-6227-49CA-8518-BF8D66DAF595}"/>
  <tableColumns count="3">
    <tableColumn id="1" xr3:uid="{2015478E-E7C4-4CFD-901D-2A7F5527E9F6}" name="company_id" dataDxfId="47"/>
    <tableColumn id="2" xr3:uid="{FE3E945D-3BF2-4C85-BE8B-CA58B3E278CF}" name="company_name" dataDxfId="46"/>
    <tableColumn id="3" xr3:uid="{7D19D61D-FDEA-45AD-9342-73C9CC2AF919}" name="industry"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457701-8055-4BCC-BC55-7AD5AEE252D5}" name="financials" displayName="financials" ref="A1:I81" totalsRowShown="0" headerRowDxfId="0" dataDxfId="43" headerRowBorderDxfId="44" tableBorderDxfId="42" totalsRowBorderDxfId="41">
  <autoFilter ref="A1:I81" xr:uid="{70457701-8055-4BCC-BC55-7AD5AEE252D5}"/>
  <tableColumns count="9">
    <tableColumn id="1" xr3:uid="{3948856A-1446-40DE-886B-12C595E45163}" name="company_id" dataDxfId="40"/>
    <tableColumn id="2" xr3:uid="{24BB7598-CD5D-497A-81C8-830D751711B3}" name="year" dataDxfId="39"/>
    <tableColumn id="3" xr3:uid="{FA280757-95FB-45FB-BFE8-4D954E56F895}" name="quarter" dataDxfId="38"/>
    <tableColumn id="4" xr3:uid="{AFB7A5FF-D646-4914-9B56-A4E8984A7E28}" name="revenue" dataDxfId="37"/>
    <tableColumn id="5" xr3:uid="{7F143164-5329-4D3C-B6DA-1DA0F9B20B9D}" name="expense" dataDxfId="36"/>
    <tableColumn id="6" xr3:uid="{D18B4CF2-8C66-4264-B9F1-80C8C2DA6045}" name="company_name" dataDxfId="35">
      <calculatedColumnFormula>INDEX(companies[company_name], MATCH(financials[company_id], companies[company_id], 0))</calculatedColumnFormula>
    </tableColumn>
    <tableColumn id="7" xr3:uid="{E31CC5EC-844D-43D0-B8E6-D4FB6899DDA8}" name="profit" dataDxfId="34">
      <calculatedColumnFormula xml:space="preserve"> financials[[#This Row],[revenue]] - financials[[#This Row],[expense]]</calculatedColumnFormula>
    </tableColumn>
    <tableColumn id="8" xr3:uid="{DFB22F39-542A-4DDB-8A91-A5408EAFD8A9}" name="industry" dataDxfId="33">
      <calculatedColumnFormula>INDEX(companies[industry], MATCH(financials[company_id], companies[company_id], 0))</calculatedColumnFormula>
    </tableColumn>
    <tableColumn id="9" xr3:uid="{9CD791EC-48D9-47E1-874F-C13E438CEEB9}" name="profit margin" dataDxfId="32">
      <calculatedColumnFormula>IF(financials[[#This Row],[revenue]]=0, 0, financials[[#This Row],[profit]]/financials[[#This Row],[revenue]])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404F41-2205-4E4C-A721-994DEE2FBED4}" name="dept_expenses" displayName="dept_expenses" ref="A1:H101" totalsRowShown="0" headerRowDxfId="24" dataDxfId="22" headerRowBorderDxfId="23" tableBorderDxfId="21" totalsRowBorderDxfId="20">
  <autoFilter ref="A1:H101" xr:uid="{38404F41-2205-4E4C-A721-994DEE2FBED4}"/>
  <tableColumns count="8">
    <tableColumn id="1" xr3:uid="{F1A8B061-2B40-489E-8DC9-7E469AF4E613}" name="company_id" dataDxfId="19"/>
    <tableColumn id="2" xr3:uid="{B9FF2C2C-342C-4FFE-8244-3298A89EA058}" name="dept_id" dataDxfId="18"/>
    <tableColumn id="3" xr3:uid="{459BAACC-986B-4FD4-A222-E089EC309875}" name="year" dataDxfId="17"/>
    <tableColumn id="4" xr3:uid="{D491117A-6EF8-41B5-ABF1-7C29A598F78B}" name="quarter" dataDxfId="16"/>
    <tableColumn id="5" xr3:uid="{D9373261-5043-4385-8A5D-69F60D7183E7}" name="expense_amt" dataDxfId="15"/>
    <tableColumn id="6" xr3:uid="{7BA867C3-0C8D-4095-9921-C649A16F3326}" name="company_name" dataDxfId="14">
      <calculatedColumnFormula>INDEX(companies[company_name], MATCH(dept_expenses[company_id], companies[company_id], 0))</calculatedColumnFormula>
    </tableColumn>
    <tableColumn id="7" xr3:uid="{77A9D485-919F-45B5-B18B-58B6B2107C27}" name="dept_name" dataDxfId="13">
      <calculatedColumnFormula>INDEX(departments[dept_name], MATCH(dept_expenses[dept_id], departments[dept_id], 0))</calculatedColumnFormula>
    </tableColumn>
    <tableColumn id="8" xr3:uid="{C433D1C5-B8CD-4E67-95CE-437F5BCA8718}" name="year_quarter" dataDxfId="12">
      <calculatedColumnFormula>dept_expenses[[#This Row],[year]] &amp; "-Q" &amp; dept_expenses[[#This Row],[quarter]]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6966F9-A004-4B23-849A-09EC91D39E0C}" name="departments" displayName="departments" ref="A1:B6" totalsRowShown="0" headerRowDxfId="31" dataDxfId="29" headerRowBorderDxfId="30" tableBorderDxfId="28" totalsRowBorderDxfId="27">
  <autoFilter ref="A1:B6" xr:uid="{F46966F9-A004-4B23-849A-09EC91D39E0C}"/>
  <tableColumns count="2">
    <tableColumn id="1" xr3:uid="{2A736DFE-2ECD-40E6-B68C-42BAE76133EA}" name="dept_id" dataDxfId="26"/>
    <tableColumn id="2" xr3:uid="{D306CE0C-9ECF-4339-A99D-0B36E2A75CD6}" name="dept_name"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A205-D102-49B8-81F6-49218D45490B}">
  <dimension ref="A1:C7"/>
  <sheetViews>
    <sheetView tabSelected="1" workbookViewId="0">
      <selection activeCell="B4" sqref="B4"/>
    </sheetView>
  </sheetViews>
  <sheetFormatPr defaultRowHeight="14.5" x14ac:dyDescent="0.35"/>
  <cols>
    <col min="1" max="1" width="15.54296875" style="13" bestFit="1" customWidth="1"/>
    <col min="2" max="2" width="18.81640625" bestFit="1" customWidth="1"/>
    <col min="3" max="3" width="12.26953125" bestFit="1" customWidth="1"/>
  </cols>
  <sheetData>
    <row r="1" spans="1:3" s="15" customFormat="1" x14ac:dyDescent="0.35">
      <c r="A1" s="14" t="s">
        <v>15</v>
      </c>
      <c r="B1" s="7" t="s">
        <v>5</v>
      </c>
      <c r="C1" s="8" t="s">
        <v>16</v>
      </c>
    </row>
    <row r="2" spans="1:3" x14ac:dyDescent="0.35">
      <c r="A2" s="20">
        <v>1</v>
      </c>
      <c r="B2" s="18" t="s">
        <v>0</v>
      </c>
      <c r="C2" s="21" t="s">
        <v>11</v>
      </c>
    </row>
    <row r="3" spans="1:3" x14ac:dyDescent="0.35">
      <c r="A3" s="20">
        <v>2</v>
      </c>
      <c r="B3" s="18" t="s">
        <v>1</v>
      </c>
      <c r="C3" s="21" t="s">
        <v>12</v>
      </c>
    </row>
    <row r="4" spans="1:3" x14ac:dyDescent="0.35">
      <c r="A4" s="20">
        <v>3</v>
      </c>
      <c r="B4" s="18" t="s">
        <v>2</v>
      </c>
      <c r="C4" s="21" t="s">
        <v>13</v>
      </c>
    </row>
    <row r="5" spans="1:3" x14ac:dyDescent="0.35">
      <c r="A5" s="20">
        <v>4</v>
      </c>
      <c r="B5" s="18" t="s">
        <v>3</v>
      </c>
      <c r="C5" s="21" t="s">
        <v>14</v>
      </c>
    </row>
    <row r="6" spans="1:3" x14ac:dyDescent="0.35">
      <c r="A6" s="22">
        <v>5</v>
      </c>
      <c r="B6" s="19" t="s">
        <v>4</v>
      </c>
      <c r="C6" s="23" t="s">
        <v>11</v>
      </c>
    </row>
    <row r="7" spans="1:3" x14ac:dyDescent="0.35">
      <c r="A7" s="12"/>
      <c r="B7" s="1"/>
      <c r="C7"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A13B8-69B9-455B-96B2-0B3838ACCE6D}">
  <dimension ref="A1:I81"/>
  <sheetViews>
    <sheetView topLeftCell="D1" zoomScale="89" workbookViewId="0">
      <selection activeCell="J9" sqref="J9"/>
    </sheetView>
  </sheetViews>
  <sheetFormatPr defaultRowHeight="14.5" x14ac:dyDescent="0.35"/>
  <cols>
    <col min="1" max="1" width="15.54296875" bestFit="1" customWidth="1"/>
    <col min="2" max="2" width="9" bestFit="1" customWidth="1"/>
    <col min="3" max="3" width="11.7265625" bestFit="1" customWidth="1"/>
    <col min="4" max="4" width="12.1796875" bestFit="1" customWidth="1"/>
    <col min="5" max="5" width="12.26953125" bestFit="1" customWidth="1"/>
    <col min="6" max="6" width="18.81640625" bestFit="1" customWidth="1"/>
    <col min="7" max="7" width="10.08984375" bestFit="1" customWidth="1"/>
    <col min="8" max="8" width="12.26953125" bestFit="1" customWidth="1"/>
    <col min="9" max="9" width="16.36328125" style="16" bestFit="1" customWidth="1"/>
  </cols>
  <sheetData>
    <row r="1" spans="1:9" s="33" customFormat="1" x14ac:dyDescent="0.35">
      <c r="A1" s="6" t="s">
        <v>15</v>
      </c>
      <c r="B1" s="7" t="s">
        <v>6</v>
      </c>
      <c r="C1" s="7" t="s">
        <v>17</v>
      </c>
      <c r="D1" s="7" t="s">
        <v>23</v>
      </c>
      <c r="E1" s="8" t="s">
        <v>18</v>
      </c>
      <c r="F1" s="7" t="s">
        <v>5</v>
      </c>
      <c r="G1" s="7" t="s">
        <v>7</v>
      </c>
      <c r="H1" s="7" t="s">
        <v>16</v>
      </c>
      <c r="I1" s="28" t="s">
        <v>33</v>
      </c>
    </row>
    <row r="2" spans="1:9" x14ac:dyDescent="0.35">
      <c r="A2" s="25">
        <v>1</v>
      </c>
      <c r="B2" s="18">
        <v>2020</v>
      </c>
      <c r="C2" s="18">
        <v>1</v>
      </c>
      <c r="D2" s="18">
        <v>4808819</v>
      </c>
      <c r="E2" s="21">
        <v>45724044</v>
      </c>
      <c r="F2" s="3" t="str">
        <f>INDEX(companies[company_name], MATCH(financials[company_id], companies[company_id], 0))</f>
        <v>TCS</v>
      </c>
      <c r="G2" s="17">
        <f xml:space="preserve"> financials[[#This Row],[revenue]] - financials[[#This Row],[expense]]</f>
        <v>-40915225</v>
      </c>
      <c r="H2" s="24" t="str">
        <f>INDEX(companies[industry], MATCH(financials[company_id], companies[company_id], 0))</f>
        <v>IT</v>
      </c>
      <c r="I2" s="27">
        <f>IF(financials[[#This Row],[revenue]]=0, 0, financials[[#This Row],[profit]]/financials[[#This Row],[revenue]])</f>
        <v>-8.5083728458068393</v>
      </c>
    </row>
    <row r="3" spans="1:9" x14ac:dyDescent="0.35">
      <c r="A3" s="25">
        <v>1</v>
      </c>
      <c r="B3" s="18">
        <v>2020</v>
      </c>
      <c r="C3" s="18">
        <v>2</v>
      </c>
      <c r="D3" s="18">
        <v>35802462</v>
      </c>
      <c r="E3" s="21">
        <v>23051148</v>
      </c>
      <c r="F3" s="18" t="str">
        <f>INDEX(companies[company_name], MATCH(financials[company_id], companies[company_id], 0))</f>
        <v>TCS</v>
      </c>
      <c r="G3" s="18">
        <f xml:space="preserve"> financials[[#This Row],[revenue]] - financials[[#This Row],[expense]]</f>
        <v>12751314</v>
      </c>
      <c r="H3" s="24" t="str">
        <f>INDEX(companies[industry], MATCH(financials[company_id], companies[company_id], 0))</f>
        <v>IT</v>
      </c>
      <c r="I3" s="27">
        <f>IF(financials[[#This Row],[revenue]]=0, 0, financials[[#This Row],[profit]]/financials[[#This Row],[revenue]])</f>
        <v>0.35615746202034931</v>
      </c>
    </row>
    <row r="4" spans="1:9" x14ac:dyDescent="0.35">
      <c r="A4" s="25">
        <v>1</v>
      </c>
      <c r="B4" s="18">
        <v>2020</v>
      </c>
      <c r="C4" s="18">
        <v>3</v>
      </c>
      <c r="D4" s="18">
        <v>37317095</v>
      </c>
      <c r="E4" s="21">
        <v>35483790</v>
      </c>
      <c r="F4" s="18" t="str">
        <f>INDEX(companies[company_name], MATCH(financials[company_id], companies[company_id], 0))</f>
        <v>TCS</v>
      </c>
      <c r="G4" s="18">
        <f xml:space="preserve"> financials[[#This Row],[revenue]] - financials[[#This Row],[expense]]</f>
        <v>1833305</v>
      </c>
      <c r="H4" s="24" t="str">
        <f>INDEX(companies[industry], MATCH(financials[company_id], companies[company_id], 0))</f>
        <v>IT</v>
      </c>
      <c r="I4" s="27">
        <f>IF(financials[[#This Row],[revenue]]=0, 0, financials[[#This Row],[profit]]/financials[[#This Row],[revenue]])</f>
        <v>4.9127752307622015E-2</v>
      </c>
    </row>
    <row r="5" spans="1:9" x14ac:dyDescent="0.35">
      <c r="A5" s="25">
        <v>1</v>
      </c>
      <c r="B5" s="18">
        <v>2020</v>
      </c>
      <c r="C5" s="18">
        <v>4</v>
      </c>
      <c r="D5" s="18">
        <v>36705429</v>
      </c>
      <c r="E5" s="21">
        <v>35209489</v>
      </c>
      <c r="F5" s="18" t="str">
        <f>INDEX(companies[company_name], MATCH(financials[company_id], companies[company_id], 0))</f>
        <v>TCS</v>
      </c>
      <c r="G5" s="18">
        <f xml:space="preserve"> financials[[#This Row],[revenue]] - financials[[#This Row],[expense]]</f>
        <v>1495940</v>
      </c>
      <c r="H5" s="24" t="str">
        <f>INDEX(companies[industry], MATCH(financials[company_id], companies[company_id], 0))</f>
        <v>IT</v>
      </c>
      <c r="I5" s="27">
        <f>IF(financials[[#This Row],[revenue]]=0, 0, financials[[#This Row],[profit]]/financials[[#This Row],[revenue]])</f>
        <v>4.0755279007909158E-2</v>
      </c>
    </row>
    <row r="6" spans="1:9" x14ac:dyDescent="0.35">
      <c r="A6" s="25">
        <v>1</v>
      </c>
      <c r="B6" s="18">
        <v>2021</v>
      </c>
      <c r="C6" s="18">
        <v>1</v>
      </c>
      <c r="D6" s="18">
        <v>5097468</v>
      </c>
      <c r="E6" s="21">
        <v>1841459</v>
      </c>
      <c r="F6" s="18" t="str">
        <f>INDEX(companies[company_name], MATCH(financials[company_id], companies[company_id], 0))</f>
        <v>TCS</v>
      </c>
      <c r="G6" s="18">
        <f xml:space="preserve"> financials[[#This Row],[revenue]] - financials[[#This Row],[expense]]</f>
        <v>3256009</v>
      </c>
      <c r="H6" s="24" t="str">
        <f>INDEX(companies[industry], MATCH(financials[company_id], companies[company_id], 0))</f>
        <v>IT</v>
      </c>
      <c r="I6" s="27">
        <f>IF(financials[[#This Row],[revenue]]=0, 0, financials[[#This Row],[profit]]/financials[[#This Row],[revenue]])</f>
        <v>0.63875025797121232</v>
      </c>
    </row>
    <row r="7" spans="1:9" x14ac:dyDescent="0.35">
      <c r="A7" s="25">
        <v>1</v>
      </c>
      <c r="B7" s="18">
        <v>2021</v>
      </c>
      <c r="C7" s="18">
        <v>2</v>
      </c>
      <c r="D7" s="18">
        <v>9738482</v>
      </c>
      <c r="E7" s="21">
        <v>58429830</v>
      </c>
      <c r="F7" s="18" t="str">
        <f>INDEX(companies[company_name], MATCH(financials[company_id], companies[company_id], 0))</f>
        <v>TCS</v>
      </c>
      <c r="G7" s="18">
        <f xml:space="preserve"> financials[[#This Row],[revenue]] - financials[[#This Row],[expense]]</f>
        <v>-48691348</v>
      </c>
      <c r="H7" s="24" t="str">
        <f>INDEX(companies[industry], MATCH(financials[company_id], companies[company_id], 0))</f>
        <v>IT</v>
      </c>
      <c r="I7" s="27">
        <f>IF(financials[[#This Row],[revenue]]=0, 0, financials[[#This Row],[profit]]/financials[[#This Row],[revenue]])</f>
        <v>-4.9998909480964278</v>
      </c>
    </row>
    <row r="8" spans="1:9" x14ac:dyDescent="0.35">
      <c r="A8" s="25">
        <v>1</v>
      </c>
      <c r="B8" s="18">
        <v>2021</v>
      </c>
      <c r="C8" s="18">
        <v>3</v>
      </c>
      <c r="D8" s="18">
        <v>38370783</v>
      </c>
      <c r="E8" s="21">
        <v>26093478</v>
      </c>
      <c r="F8" s="18" t="str">
        <f>INDEX(companies[company_name], MATCH(financials[company_id], companies[company_id], 0))</f>
        <v>TCS</v>
      </c>
      <c r="G8" s="18">
        <f xml:space="preserve"> financials[[#This Row],[revenue]] - financials[[#This Row],[expense]]</f>
        <v>12277305</v>
      </c>
      <c r="H8" s="24" t="str">
        <f>INDEX(companies[industry], MATCH(financials[company_id], companies[company_id], 0))</f>
        <v>IT</v>
      </c>
      <c r="I8" s="27">
        <f>IF(financials[[#This Row],[revenue]]=0, 0, financials[[#This Row],[profit]]/financials[[#This Row],[revenue]])</f>
        <v>0.31996493269371123</v>
      </c>
    </row>
    <row r="9" spans="1:9" x14ac:dyDescent="0.35">
      <c r="A9" s="25">
        <v>1</v>
      </c>
      <c r="B9" s="18">
        <v>2021</v>
      </c>
      <c r="C9" s="18">
        <v>4</v>
      </c>
      <c r="D9" s="18">
        <v>19514381</v>
      </c>
      <c r="E9" s="21">
        <v>52177143</v>
      </c>
      <c r="F9" s="18" t="str">
        <f>INDEX(companies[company_name], MATCH(financials[company_id], companies[company_id], 0))</f>
        <v>TCS</v>
      </c>
      <c r="G9" s="18">
        <f xml:space="preserve"> financials[[#This Row],[revenue]] - financials[[#This Row],[expense]]</f>
        <v>-32662762</v>
      </c>
      <c r="H9" s="24" t="str">
        <f>INDEX(companies[industry], MATCH(financials[company_id], companies[company_id], 0))</f>
        <v>IT</v>
      </c>
      <c r="I9" s="27">
        <f>IF(financials[[#This Row],[revenue]]=0, 0, financials[[#This Row],[profit]]/financials[[#This Row],[revenue]])</f>
        <v>-1.6737790453102253</v>
      </c>
    </row>
    <row r="10" spans="1:9" x14ac:dyDescent="0.35">
      <c r="A10" s="25">
        <v>1</v>
      </c>
      <c r="B10" s="18">
        <v>2022</v>
      </c>
      <c r="C10" s="18">
        <v>1</v>
      </c>
      <c r="D10" s="18">
        <v>19440374</v>
      </c>
      <c r="E10" s="21">
        <v>12842751</v>
      </c>
      <c r="F10" s="18" t="str">
        <f>INDEX(companies[company_name], MATCH(financials[company_id], companies[company_id], 0))</f>
        <v>TCS</v>
      </c>
      <c r="G10" s="18">
        <f xml:space="preserve"> financials[[#This Row],[revenue]] - financials[[#This Row],[expense]]</f>
        <v>6597623</v>
      </c>
      <c r="H10" s="24" t="str">
        <f>INDEX(companies[industry], MATCH(financials[company_id], companies[company_id], 0))</f>
        <v>IT</v>
      </c>
      <c r="I10" s="27">
        <f>IF(financials[[#This Row],[revenue]]=0, 0, financials[[#This Row],[profit]]/financials[[#This Row],[revenue]])</f>
        <v>0.33937737000327256</v>
      </c>
    </row>
    <row r="11" spans="1:9" x14ac:dyDescent="0.35">
      <c r="A11" s="25">
        <v>1</v>
      </c>
      <c r="B11" s="18">
        <v>2022</v>
      </c>
      <c r="C11" s="18">
        <v>2</v>
      </c>
      <c r="D11" s="18">
        <v>30658095</v>
      </c>
      <c r="E11" s="21">
        <v>29987680</v>
      </c>
      <c r="F11" s="18" t="str">
        <f>INDEX(companies[company_name], MATCH(financials[company_id], companies[company_id], 0))</f>
        <v>TCS</v>
      </c>
      <c r="G11" s="18">
        <f xml:space="preserve"> financials[[#This Row],[revenue]] - financials[[#This Row],[expense]]</f>
        <v>670415</v>
      </c>
      <c r="H11" s="24" t="str">
        <f>INDEX(companies[industry], MATCH(financials[company_id], companies[company_id], 0))</f>
        <v>IT</v>
      </c>
      <c r="I11" s="27">
        <f>IF(financials[[#This Row],[revenue]]=0, 0, financials[[#This Row],[profit]]/financials[[#This Row],[revenue]])</f>
        <v>2.1867470891456239E-2</v>
      </c>
    </row>
    <row r="12" spans="1:9" x14ac:dyDescent="0.35">
      <c r="A12" s="25">
        <v>1</v>
      </c>
      <c r="B12" s="18">
        <v>2022</v>
      </c>
      <c r="C12" s="18">
        <v>3</v>
      </c>
      <c r="D12" s="18">
        <v>10298765</v>
      </c>
      <c r="E12" s="21">
        <v>48890446</v>
      </c>
      <c r="F12" s="18" t="str">
        <f>INDEX(companies[company_name], MATCH(financials[company_id], companies[company_id], 0))</f>
        <v>TCS</v>
      </c>
      <c r="G12" s="18">
        <f xml:space="preserve"> financials[[#This Row],[revenue]] - financials[[#This Row],[expense]]</f>
        <v>-38591681</v>
      </c>
      <c r="H12" s="24" t="str">
        <f>INDEX(companies[industry], MATCH(financials[company_id], companies[company_id], 0))</f>
        <v>IT</v>
      </c>
      <c r="I12" s="27">
        <f>IF(financials[[#This Row],[revenue]]=0, 0, financials[[#This Row],[profit]]/financials[[#This Row],[revenue]])</f>
        <v>-3.7472144475575471</v>
      </c>
    </row>
    <row r="13" spans="1:9" x14ac:dyDescent="0.35">
      <c r="A13" s="25">
        <v>1</v>
      </c>
      <c r="B13" s="18">
        <v>2022</v>
      </c>
      <c r="C13" s="18">
        <v>4</v>
      </c>
      <c r="D13" s="18">
        <v>5465419</v>
      </c>
      <c r="E13" s="21">
        <v>14731866</v>
      </c>
      <c r="F13" s="18" t="str">
        <f>INDEX(companies[company_name], MATCH(financials[company_id], companies[company_id], 0))</f>
        <v>TCS</v>
      </c>
      <c r="G13" s="18">
        <f xml:space="preserve"> financials[[#This Row],[revenue]] - financials[[#This Row],[expense]]</f>
        <v>-9266447</v>
      </c>
      <c r="H13" s="24" t="str">
        <f>INDEX(companies[industry], MATCH(financials[company_id], companies[company_id], 0))</f>
        <v>IT</v>
      </c>
      <c r="I13" s="27">
        <f>IF(financials[[#This Row],[revenue]]=0, 0, financials[[#This Row],[profit]]/financials[[#This Row],[revenue]])</f>
        <v>-1.6954687280151806</v>
      </c>
    </row>
    <row r="14" spans="1:9" x14ac:dyDescent="0.35">
      <c r="A14" s="25">
        <v>1</v>
      </c>
      <c r="B14" s="18">
        <v>2023</v>
      </c>
      <c r="C14" s="18">
        <v>1</v>
      </c>
      <c r="D14" s="18">
        <v>7168896</v>
      </c>
      <c r="E14" s="21">
        <v>12305861</v>
      </c>
      <c r="F14" s="18" t="str">
        <f>INDEX(companies[company_name], MATCH(financials[company_id], companies[company_id], 0))</f>
        <v>TCS</v>
      </c>
      <c r="G14" s="18">
        <f xml:space="preserve"> financials[[#This Row],[revenue]] - financials[[#This Row],[expense]]</f>
        <v>-5136965</v>
      </c>
      <c r="H14" s="24" t="str">
        <f>INDEX(companies[industry], MATCH(financials[company_id], companies[company_id], 0))</f>
        <v>IT</v>
      </c>
      <c r="I14" s="27">
        <f>IF(financials[[#This Row],[revenue]]=0, 0, financials[[#This Row],[profit]]/financials[[#This Row],[revenue]])</f>
        <v>-0.71656291289481677</v>
      </c>
    </row>
    <row r="15" spans="1:9" x14ac:dyDescent="0.35">
      <c r="A15" s="25">
        <v>1</v>
      </c>
      <c r="B15" s="18">
        <v>2023</v>
      </c>
      <c r="C15" s="18">
        <v>2</v>
      </c>
      <c r="D15" s="18">
        <v>10887357</v>
      </c>
      <c r="E15" s="21">
        <v>49668009</v>
      </c>
      <c r="F15" s="18" t="str">
        <f>INDEX(companies[company_name], MATCH(financials[company_id], companies[company_id], 0))</f>
        <v>TCS</v>
      </c>
      <c r="G15" s="18">
        <f xml:space="preserve"> financials[[#This Row],[revenue]] - financials[[#This Row],[expense]]</f>
        <v>-38780652</v>
      </c>
      <c r="H15" s="24" t="str">
        <f>INDEX(companies[industry], MATCH(financials[company_id], companies[company_id], 0))</f>
        <v>IT</v>
      </c>
      <c r="I15" s="27">
        <f>IF(financials[[#This Row],[revenue]]=0, 0, financials[[#This Row],[profit]]/financials[[#This Row],[revenue]])</f>
        <v>-3.56198956275614</v>
      </c>
    </row>
    <row r="16" spans="1:9" x14ac:dyDescent="0.35">
      <c r="A16" s="25">
        <v>1</v>
      </c>
      <c r="B16" s="18">
        <v>2023</v>
      </c>
      <c r="C16" s="18">
        <v>3</v>
      </c>
      <c r="D16" s="18">
        <v>20850868</v>
      </c>
      <c r="E16" s="21">
        <v>38421365</v>
      </c>
      <c r="F16" s="18" t="str">
        <f>INDEX(companies[company_name], MATCH(financials[company_id], companies[company_id], 0))</f>
        <v>TCS</v>
      </c>
      <c r="G16" s="18">
        <f xml:space="preserve"> financials[[#This Row],[revenue]] - financials[[#This Row],[expense]]</f>
        <v>-17570497</v>
      </c>
      <c r="H16" s="24" t="str">
        <f>INDEX(companies[industry], MATCH(financials[company_id], companies[company_id], 0))</f>
        <v>IT</v>
      </c>
      <c r="I16" s="27">
        <f>IF(financials[[#This Row],[revenue]]=0, 0, financials[[#This Row],[profit]]/financials[[#This Row],[revenue]])</f>
        <v>-0.8426746071194734</v>
      </c>
    </row>
    <row r="17" spans="1:9" x14ac:dyDescent="0.35">
      <c r="A17" s="25">
        <v>1</v>
      </c>
      <c r="B17" s="18">
        <v>2023</v>
      </c>
      <c r="C17" s="18">
        <v>4</v>
      </c>
      <c r="D17" s="18">
        <v>48360542</v>
      </c>
      <c r="E17" s="21">
        <v>19707956</v>
      </c>
      <c r="F17" s="18" t="str">
        <f>INDEX(companies[company_name], MATCH(financials[company_id], companies[company_id], 0))</f>
        <v>TCS</v>
      </c>
      <c r="G17" s="18">
        <f xml:space="preserve"> financials[[#This Row],[revenue]] - financials[[#This Row],[expense]]</f>
        <v>28652586</v>
      </c>
      <c r="H17" s="24" t="str">
        <f>INDEX(companies[industry], MATCH(financials[company_id], companies[company_id], 0))</f>
        <v>IT</v>
      </c>
      <c r="I17" s="27">
        <f>IF(financials[[#This Row],[revenue]]=0, 0, financials[[#This Row],[profit]]/financials[[#This Row],[revenue]])</f>
        <v>0.59247859546321879</v>
      </c>
    </row>
    <row r="18" spans="1:9" x14ac:dyDescent="0.35">
      <c r="A18" s="25">
        <v>2</v>
      </c>
      <c r="B18" s="18">
        <v>2020</v>
      </c>
      <c r="C18" s="18">
        <v>1</v>
      </c>
      <c r="D18" s="18">
        <v>40119590</v>
      </c>
      <c r="E18" s="21">
        <v>25186084</v>
      </c>
      <c r="F18" s="18" t="str">
        <f>INDEX(companies[company_name], MATCH(financials[company_id], companies[company_id], 0))</f>
        <v>HDFC Bank</v>
      </c>
      <c r="G18" s="18">
        <f xml:space="preserve"> financials[[#This Row],[revenue]] - financials[[#This Row],[expense]]</f>
        <v>14933506</v>
      </c>
      <c r="H18" s="24" t="str">
        <f>INDEX(companies[industry], MATCH(financials[company_id], companies[company_id], 0))</f>
        <v>Finance</v>
      </c>
      <c r="I18" s="27">
        <f>IF(financials[[#This Row],[revenue]]=0, 0, financials[[#This Row],[profit]]/financials[[#This Row],[revenue]])</f>
        <v>0.37222479093131311</v>
      </c>
    </row>
    <row r="19" spans="1:9" x14ac:dyDescent="0.35">
      <c r="A19" s="25">
        <v>2</v>
      </c>
      <c r="B19" s="18">
        <v>2020</v>
      </c>
      <c r="C19" s="18">
        <v>2</v>
      </c>
      <c r="D19" s="18">
        <v>40809900</v>
      </c>
      <c r="E19" s="21">
        <v>8590503</v>
      </c>
      <c r="F19" s="18" t="str">
        <f>INDEX(companies[company_name], MATCH(financials[company_id], companies[company_id], 0))</f>
        <v>HDFC Bank</v>
      </c>
      <c r="G19" s="18">
        <f xml:space="preserve"> financials[[#This Row],[revenue]] - financials[[#This Row],[expense]]</f>
        <v>32219397</v>
      </c>
      <c r="H19" s="24" t="str">
        <f>INDEX(companies[industry], MATCH(financials[company_id], companies[company_id], 0))</f>
        <v>Finance</v>
      </c>
      <c r="I19" s="27">
        <f>IF(financials[[#This Row],[revenue]]=0, 0, financials[[#This Row],[profit]]/financials[[#This Row],[revenue]])</f>
        <v>0.78949953320150257</v>
      </c>
    </row>
    <row r="20" spans="1:9" x14ac:dyDescent="0.35">
      <c r="A20" s="25">
        <v>2</v>
      </c>
      <c r="B20" s="18">
        <v>2020</v>
      </c>
      <c r="C20" s="18">
        <v>3</v>
      </c>
      <c r="D20" s="18">
        <v>13542746</v>
      </c>
      <c r="E20" s="21">
        <v>16103102</v>
      </c>
      <c r="F20" s="18" t="str">
        <f>INDEX(companies[company_name], MATCH(financials[company_id], companies[company_id], 0))</f>
        <v>HDFC Bank</v>
      </c>
      <c r="G20" s="18">
        <f xml:space="preserve"> financials[[#This Row],[revenue]] - financials[[#This Row],[expense]]</f>
        <v>-2560356</v>
      </c>
      <c r="H20" s="24" t="str">
        <f>INDEX(companies[industry], MATCH(financials[company_id], companies[company_id], 0))</f>
        <v>Finance</v>
      </c>
      <c r="I20" s="27">
        <f>IF(financials[[#This Row],[revenue]]=0, 0, financials[[#This Row],[profit]]/financials[[#This Row],[revenue]])</f>
        <v>-0.18905737433161635</v>
      </c>
    </row>
    <row r="21" spans="1:9" x14ac:dyDescent="0.35">
      <c r="A21" s="25">
        <v>2</v>
      </c>
      <c r="B21" s="18">
        <v>2020</v>
      </c>
      <c r="C21" s="18">
        <v>4</v>
      </c>
      <c r="D21" s="18">
        <v>6284787</v>
      </c>
      <c r="E21" s="21">
        <v>7985167</v>
      </c>
      <c r="F21" s="18" t="str">
        <f>INDEX(companies[company_name], MATCH(financials[company_id], companies[company_id], 0))</f>
        <v>HDFC Bank</v>
      </c>
      <c r="G21" s="18">
        <f xml:space="preserve"> financials[[#This Row],[revenue]] - financials[[#This Row],[expense]]</f>
        <v>-1700380</v>
      </c>
      <c r="H21" s="24" t="str">
        <f>INDEX(companies[industry], MATCH(financials[company_id], companies[company_id], 0))</f>
        <v>Finance</v>
      </c>
      <c r="I21" s="27">
        <f>IF(financials[[#This Row],[revenue]]=0, 0, financials[[#This Row],[profit]]/financials[[#This Row],[revenue]])</f>
        <v>-0.27055491299864259</v>
      </c>
    </row>
    <row r="22" spans="1:9" x14ac:dyDescent="0.35">
      <c r="A22" s="25">
        <v>2</v>
      </c>
      <c r="B22" s="18">
        <v>2021</v>
      </c>
      <c r="C22" s="18">
        <v>1</v>
      </c>
      <c r="D22" s="18">
        <v>20877482</v>
      </c>
      <c r="E22" s="21">
        <v>34302258</v>
      </c>
      <c r="F22" s="18" t="str">
        <f>INDEX(companies[company_name], MATCH(financials[company_id], companies[company_id], 0))</f>
        <v>HDFC Bank</v>
      </c>
      <c r="G22" s="18">
        <f xml:space="preserve"> financials[[#This Row],[revenue]] - financials[[#This Row],[expense]]</f>
        <v>-13424776</v>
      </c>
      <c r="H22" s="24" t="str">
        <f>INDEX(companies[industry], MATCH(financials[company_id], companies[company_id], 0))</f>
        <v>Finance</v>
      </c>
      <c r="I22" s="27">
        <f>IF(financials[[#This Row],[revenue]]=0, 0, financials[[#This Row],[profit]]/financials[[#This Row],[revenue]])</f>
        <v>-0.64302658721008599</v>
      </c>
    </row>
    <row r="23" spans="1:9" x14ac:dyDescent="0.35">
      <c r="A23" s="25">
        <v>2</v>
      </c>
      <c r="B23" s="18">
        <v>2021</v>
      </c>
      <c r="C23" s="18">
        <v>2</v>
      </c>
      <c r="D23" s="18">
        <v>6980557</v>
      </c>
      <c r="E23" s="21">
        <v>32003570</v>
      </c>
      <c r="F23" s="18" t="str">
        <f>INDEX(companies[company_name], MATCH(financials[company_id], companies[company_id], 0))</f>
        <v>HDFC Bank</v>
      </c>
      <c r="G23" s="18">
        <f xml:space="preserve"> financials[[#This Row],[revenue]] - financials[[#This Row],[expense]]</f>
        <v>-25023013</v>
      </c>
      <c r="H23" s="24" t="str">
        <f>INDEX(companies[industry], MATCH(financials[company_id], companies[company_id], 0))</f>
        <v>Finance</v>
      </c>
      <c r="I23" s="27">
        <f>IF(financials[[#This Row],[revenue]]=0, 0, financials[[#This Row],[profit]]/financials[[#This Row],[revenue]])</f>
        <v>-3.5846728276840945</v>
      </c>
    </row>
    <row r="24" spans="1:9" x14ac:dyDescent="0.35">
      <c r="A24" s="25">
        <v>2</v>
      </c>
      <c r="B24" s="18">
        <v>2021</v>
      </c>
      <c r="C24" s="18">
        <v>3</v>
      </c>
      <c r="D24" s="18">
        <v>17163289</v>
      </c>
      <c r="E24" s="21">
        <v>53225144</v>
      </c>
      <c r="F24" s="18" t="str">
        <f>INDEX(companies[company_name], MATCH(financials[company_id], companies[company_id], 0))</f>
        <v>HDFC Bank</v>
      </c>
      <c r="G24" s="18">
        <f xml:space="preserve"> financials[[#This Row],[revenue]] - financials[[#This Row],[expense]]</f>
        <v>-36061855</v>
      </c>
      <c r="H24" s="24" t="str">
        <f>INDEX(companies[industry], MATCH(financials[company_id], companies[company_id], 0))</f>
        <v>Finance</v>
      </c>
      <c r="I24" s="27">
        <f>IF(financials[[#This Row],[revenue]]=0, 0, financials[[#This Row],[profit]]/financials[[#This Row],[revenue]])</f>
        <v>-2.1011039900336117</v>
      </c>
    </row>
    <row r="25" spans="1:9" x14ac:dyDescent="0.35">
      <c r="A25" s="25">
        <v>2</v>
      </c>
      <c r="B25" s="18">
        <v>2021</v>
      </c>
      <c r="C25" s="18">
        <v>4</v>
      </c>
      <c r="D25" s="18">
        <v>4887416</v>
      </c>
      <c r="E25" s="21">
        <v>22177781</v>
      </c>
      <c r="F25" s="18" t="str">
        <f>INDEX(companies[company_name], MATCH(financials[company_id], companies[company_id], 0))</f>
        <v>HDFC Bank</v>
      </c>
      <c r="G25" s="18">
        <f xml:space="preserve"> financials[[#This Row],[revenue]] - financials[[#This Row],[expense]]</f>
        <v>-17290365</v>
      </c>
      <c r="H25" s="24" t="str">
        <f>INDEX(companies[industry], MATCH(financials[company_id], companies[company_id], 0))</f>
        <v>Finance</v>
      </c>
      <c r="I25" s="27">
        <f>IF(financials[[#This Row],[revenue]]=0, 0, financials[[#This Row],[profit]]/financials[[#This Row],[revenue]])</f>
        <v>-3.5377313901660918</v>
      </c>
    </row>
    <row r="26" spans="1:9" x14ac:dyDescent="0.35">
      <c r="A26" s="25">
        <v>2</v>
      </c>
      <c r="B26" s="18">
        <v>2022</v>
      </c>
      <c r="C26" s="18">
        <v>1</v>
      </c>
      <c r="D26" s="18">
        <v>24703276</v>
      </c>
      <c r="E26" s="21">
        <v>30162403</v>
      </c>
      <c r="F26" s="18" t="str">
        <f>INDEX(companies[company_name], MATCH(financials[company_id], companies[company_id], 0))</f>
        <v>HDFC Bank</v>
      </c>
      <c r="G26" s="18">
        <f xml:space="preserve"> financials[[#This Row],[revenue]] - financials[[#This Row],[expense]]</f>
        <v>-5459127</v>
      </c>
      <c r="H26" s="24" t="str">
        <f>INDEX(companies[industry], MATCH(financials[company_id], companies[company_id], 0))</f>
        <v>Finance</v>
      </c>
      <c r="I26" s="27">
        <f>IF(financials[[#This Row],[revenue]]=0, 0, financials[[#This Row],[profit]]/financials[[#This Row],[revenue]])</f>
        <v>-0.22098797746501314</v>
      </c>
    </row>
    <row r="27" spans="1:9" x14ac:dyDescent="0.35">
      <c r="A27" s="25">
        <v>2</v>
      </c>
      <c r="B27" s="18">
        <v>2022</v>
      </c>
      <c r="C27" s="18">
        <v>2</v>
      </c>
      <c r="D27" s="18">
        <v>31713992</v>
      </c>
      <c r="E27" s="21">
        <v>950851</v>
      </c>
      <c r="F27" s="18" t="str">
        <f>INDEX(companies[company_name], MATCH(financials[company_id], companies[company_id], 0))</f>
        <v>HDFC Bank</v>
      </c>
      <c r="G27" s="18">
        <f xml:space="preserve"> financials[[#This Row],[revenue]] - financials[[#This Row],[expense]]</f>
        <v>30763141</v>
      </c>
      <c r="H27" s="24" t="str">
        <f>INDEX(companies[industry], MATCH(financials[company_id], companies[company_id], 0))</f>
        <v>Finance</v>
      </c>
      <c r="I27" s="27">
        <f>IF(financials[[#This Row],[revenue]]=0, 0, financials[[#This Row],[profit]]/financials[[#This Row],[revenue]])</f>
        <v>0.97001793403996572</v>
      </c>
    </row>
    <row r="28" spans="1:9" x14ac:dyDescent="0.35">
      <c r="A28" s="25">
        <v>2</v>
      </c>
      <c r="B28" s="18">
        <v>2022</v>
      </c>
      <c r="C28" s="18">
        <v>3</v>
      </c>
      <c r="D28" s="18">
        <v>32475309</v>
      </c>
      <c r="E28" s="21">
        <v>15240619</v>
      </c>
      <c r="F28" s="18" t="str">
        <f>INDEX(companies[company_name], MATCH(financials[company_id], companies[company_id], 0))</f>
        <v>HDFC Bank</v>
      </c>
      <c r="G28" s="18">
        <f xml:space="preserve"> financials[[#This Row],[revenue]] - financials[[#This Row],[expense]]</f>
        <v>17234690</v>
      </c>
      <c r="H28" s="24" t="str">
        <f>INDEX(companies[industry], MATCH(financials[company_id], companies[company_id], 0))</f>
        <v>Finance</v>
      </c>
      <c r="I28" s="27">
        <f>IF(financials[[#This Row],[revenue]]=0, 0, financials[[#This Row],[profit]]/financials[[#This Row],[revenue]])</f>
        <v>0.53070133990103063</v>
      </c>
    </row>
    <row r="29" spans="1:9" x14ac:dyDescent="0.35">
      <c r="A29" s="25">
        <v>2</v>
      </c>
      <c r="B29" s="18">
        <v>2022</v>
      </c>
      <c r="C29" s="18">
        <v>4</v>
      </c>
      <c r="D29" s="18">
        <v>41980537</v>
      </c>
      <c r="E29" s="21">
        <v>30896394</v>
      </c>
      <c r="F29" s="18" t="str">
        <f>INDEX(companies[company_name], MATCH(financials[company_id], companies[company_id], 0))</f>
        <v>HDFC Bank</v>
      </c>
      <c r="G29" s="18">
        <f xml:space="preserve"> financials[[#This Row],[revenue]] - financials[[#This Row],[expense]]</f>
        <v>11084143</v>
      </c>
      <c r="H29" s="24" t="str">
        <f>INDEX(companies[industry], MATCH(financials[company_id], companies[company_id], 0))</f>
        <v>Finance</v>
      </c>
      <c r="I29" s="27">
        <f>IF(financials[[#This Row],[revenue]]=0, 0, financials[[#This Row],[profit]]/financials[[#This Row],[revenue]])</f>
        <v>0.26403051966676844</v>
      </c>
    </row>
    <row r="30" spans="1:9" x14ac:dyDescent="0.35">
      <c r="A30" s="25">
        <v>2</v>
      </c>
      <c r="B30" s="18">
        <v>2023</v>
      </c>
      <c r="C30" s="18">
        <v>1</v>
      </c>
      <c r="D30" s="18">
        <v>32543470</v>
      </c>
      <c r="E30" s="21">
        <v>23889349</v>
      </c>
      <c r="F30" s="18" t="str">
        <f>INDEX(companies[company_name], MATCH(financials[company_id], companies[company_id], 0))</f>
        <v>HDFC Bank</v>
      </c>
      <c r="G30" s="18">
        <f xml:space="preserve"> financials[[#This Row],[revenue]] - financials[[#This Row],[expense]]</f>
        <v>8654121</v>
      </c>
      <c r="H30" s="24" t="str">
        <f>INDEX(companies[industry], MATCH(financials[company_id], companies[company_id], 0))</f>
        <v>Finance</v>
      </c>
      <c r="I30" s="27">
        <f>IF(financials[[#This Row],[revenue]]=0, 0, financials[[#This Row],[profit]]/financials[[#This Row],[revenue]])</f>
        <v>0.26592496129023735</v>
      </c>
    </row>
    <row r="31" spans="1:9" x14ac:dyDescent="0.35">
      <c r="A31" s="25">
        <v>2</v>
      </c>
      <c r="B31" s="18">
        <v>2023</v>
      </c>
      <c r="C31" s="18">
        <v>2</v>
      </c>
      <c r="D31" s="18">
        <v>20288357</v>
      </c>
      <c r="E31" s="21">
        <v>25472317</v>
      </c>
      <c r="F31" s="18" t="str">
        <f>INDEX(companies[company_name], MATCH(financials[company_id], companies[company_id], 0))</f>
        <v>HDFC Bank</v>
      </c>
      <c r="G31" s="18">
        <f xml:space="preserve"> financials[[#This Row],[revenue]] - financials[[#This Row],[expense]]</f>
        <v>-5183960</v>
      </c>
      <c r="H31" s="24" t="str">
        <f>INDEX(companies[industry], MATCH(financials[company_id], companies[company_id], 0))</f>
        <v>Finance</v>
      </c>
      <c r="I31" s="27">
        <f>IF(financials[[#This Row],[revenue]]=0, 0, financials[[#This Row],[profit]]/financials[[#This Row],[revenue]])</f>
        <v>-0.25551403694246905</v>
      </c>
    </row>
    <row r="32" spans="1:9" x14ac:dyDescent="0.35">
      <c r="A32" s="25">
        <v>2</v>
      </c>
      <c r="B32" s="18">
        <v>2023</v>
      </c>
      <c r="C32" s="18">
        <v>3</v>
      </c>
      <c r="D32" s="18">
        <v>704651</v>
      </c>
      <c r="E32" s="21">
        <v>10844354</v>
      </c>
      <c r="F32" s="18" t="str">
        <f>INDEX(companies[company_name], MATCH(financials[company_id], companies[company_id], 0))</f>
        <v>HDFC Bank</v>
      </c>
      <c r="G32" s="18">
        <f xml:space="preserve"> financials[[#This Row],[revenue]] - financials[[#This Row],[expense]]</f>
        <v>-10139703</v>
      </c>
      <c r="H32" s="24" t="str">
        <f>INDEX(companies[industry], MATCH(financials[company_id], companies[company_id], 0))</f>
        <v>Finance</v>
      </c>
      <c r="I32" s="27">
        <f>IF(financials[[#This Row],[revenue]]=0, 0, financials[[#This Row],[profit]]/financials[[#This Row],[revenue]])</f>
        <v>-14.389680849101186</v>
      </c>
    </row>
    <row r="33" spans="1:9" x14ac:dyDescent="0.35">
      <c r="A33" s="25">
        <v>2</v>
      </c>
      <c r="B33" s="18">
        <v>2023</v>
      </c>
      <c r="C33" s="18">
        <v>4</v>
      </c>
      <c r="D33" s="18">
        <v>46916742</v>
      </c>
      <c r="E33" s="21">
        <v>9286313</v>
      </c>
      <c r="F33" s="18" t="str">
        <f>INDEX(companies[company_name], MATCH(financials[company_id], companies[company_id], 0))</f>
        <v>HDFC Bank</v>
      </c>
      <c r="G33" s="18">
        <f xml:space="preserve"> financials[[#This Row],[revenue]] - financials[[#This Row],[expense]]</f>
        <v>37630429</v>
      </c>
      <c r="H33" s="24" t="str">
        <f>INDEX(companies[industry], MATCH(financials[company_id], companies[company_id], 0))</f>
        <v>Finance</v>
      </c>
      <c r="I33" s="27">
        <f>IF(financials[[#This Row],[revenue]]=0, 0, financials[[#This Row],[profit]]/financials[[#This Row],[revenue]])</f>
        <v>0.80206824676785959</v>
      </c>
    </row>
    <row r="34" spans="1:9" x14ac:dyDescent="0.35">
      <c r="A34" s="25">
        <v>3</v>
      </c>
      <c r="B34" s="18">
        <v>2020</v>
      </c>
      <c r="C34" s="18">
        <v>1</v>
      </c>
      <c r="D34" s="18">
        <v>44205995</v>
      </c>
      <c r="E34" s="21">
        <v>51219520</v>
      </c>
      <c r="F34" s="18" t="str">
        <f>INDEX(companies[company_name], MATCH(financials[company_id], companies[company_id], 0))</f>
        <v>ITC</v>
      </c>
      <c r="G34" s="18">
        <f xml:space="preserve"> financials[[#This Row],[revenue]] - financials[[#This Row],[expense]]</f>
        <v>-7013525</v>
      </c>
      <c r="H34" s="24" t="str">
        <f>INDEX(companies[industry], MATCH(financials[company_id], companies[company_id], 0))</f>
        <v>FMCG</v>
      </c>
      <c r="I34" s="27">
        <f>IF(financials[[#This Row],[revenue]]=0, 0, financials[[#This Row],[profit]]/financials[[#This Row],[revenue]])</f>
        <v>-0.15865551719851573</v>
      </c>
    </row>
    <row r="35" spans="1:9" x14ac:dyDescent="0.35">
      <c r="A35" s="25">
        <v>3</v>
      </c>
      <c r="B35" s="18">
        <v>2020</v>
      </c>
      <c r="C35" s="18">
        <v>2</v>
      </c>
      <c r="D35" s="18">
        <v>42094300</v>
      </c>
      <c r="E35" s="21">
        <v>38417741</v>
      </c>
      <c r="F35" s="18" t="str">
        <f>INDEX(companies[company_name], MATCH(financials[company_id], companies[company_id], 0))</f>
        <v>ITC</v>
      </c>
      <c r="G35" s="18">
        <f xml:space="preserve"> financials[[#This Row],[revenue]] - financials[[#This Row],[expense]]</f>
        <v>3676559</v>
      </c>
      <c r="H35" s="24" t="str">
        <f>INDEX(companies[industry], MATCH(financials[company_id], companies[company_id], 0))</f>
        <v>FMCG</v>
      </c>
      <c r="I35" s="27">
        <f>IF(financials[[#This Row],[revenue]]=0, 0, financials[[#This Row],[profit]]/financials[[#This Row],[revenue]])</f>
        <v>8.7341017667475165E-2</v>
      </c>
    </row>
    <row r="36" spans="1:9" x14ac:dyDescent="0.35">
      <c r="A36" s="25">
        <v>3</v>
      </c>
      <c r="B36" s="18">
        <v>2020</v>
      </c>
      <c r="C36" s="18">
        <v>3</v>
      </c>
      <c r="D36" s="18">
        <v>16644710</v>
      </c>
      <c r="E36" s="21">
        <v>48077176</v>
      </c>
      <c r="F36" s="18" t="str">
        <f>INDEX(companies[company_name], MATCH(financials[company_id], companies[company_id], 0))</f>
        <v>ITC</v>
      </c>
      <c r="G36" s="18">
        <f xml:space="preserve"> financials[[#This Row],[revenue]] - financials[[#This Row],[expense]]</f>
        <v>-31432466</v>
      </c>
      <c r="H36" s="24" t="str">
        <f>INDEX(companies[industry], MATCH(financials[company_id], companies[company_id], 0))</f>
        <v>FMCG</v>
      </c>
      <c r="I36" s="27">
        <f>IF(financials[[#This Row],[revenue]]=0, 0, financials[[#This Row],[profit]]/financials[[#This Row],[revenue]])</f>
        <v>-1.8884357853035589</v>
      </c>
    </row>
    <row r="37" spans="1:9" x14ac:dyDescent="0.35">
      <c r="A37" s="25">
        <v>3</v>
      </c>
      <c r="B37" s="18">
        <v>2020</v>
      </c>
      <c r="C37" s="18">
        <v>4</v>
      </c>
      <c r="D37" s="18">
        <v>7520357</v>
      </c>
      <c r="E37" s="21">
        <v>51914895</v>
      </c>
      <c r="F37" s="18" t="str">
        <f>INDEX(companies[company_name], MATCH(financials[company_id], companies[company_id], 0))</f>
        <v>ITC</v>
      </c>
      <c r="G37" s="18">
        <f xml:space="preserve"> financials[[#This Row],[revenue]] - financials[[#This Row],[expense]]</f>
        <v>-44394538</v>
      </c>
      <c r="H37" s="24" t="str">
        <f>INDEX(companies[industry], MATCH(financials[company_id], companies[company_id], 0))</f>
        <v>FMCG</v>
      </c>
      <c r="I37" s="27">
        <f>IF(financials[[#This Row],[revenue]]=0, 0, financials[[#This Row],[profit]]/financials[[#This Row],[revenue]])</f>
        <v>-5.9032487420477509</v>
      </c>
    </row>
    <row r="38" spans="1:9" x14ac:dyDescent="0.35">
      <c r="A38" s="25">
        <v>3</v>
      </c>
      <c r="B38" s="18">
        <v>2021</v>
      </c>
      <c r="C38" s="18">
        <v>1</v>
      </c>
      <c r="D38" s="18">
        <v>38353658</v>
      </c>
      <c r="E38" s="21">
        <v>23530286</v>
      </c>
      <c r="F38" s="18" t="str">
        <f>INDEX(companies[company_name], MATCH(financials[company_id], companies[company_id], 0))</f>
        <v>ITC</v>
      </c>
      <c r="G38" s="18">
        <f xml:space="preserve"> financials[[#This Row],[revenue]] - financials[[#This Row],[expense]]</f>
        <v>14823372</v>
      </c>
      <c r="H38" s="24" t="str">
        <f>INDEX(companies[industry], MATCH(financials[company_id], companies[company_id], 0))</f>
        <v>FMCG</v>
      </c>
      <c r="I38" s="27">
        <f>IF(financials[[#This Row],[revenue]]=0, 0, financials[[#This Row],[profit]]/financials[[#This Row],[revenue]])</f>
        <v>0.38649173958843769</v>
      </c>
    </row>
    <row r="39" spans="1:9" x14ac:dyDescent="0.35">
      <c r="A39" s="25">
        <v>3</v>
      </c>
      <c r="B39" s="18">
        <v>2021</v>
      </c>
      <c r="C39" s="18">
        <v>2</v>
      </c>
      <c r="D39" s="18">
        <v>31541576</v>
      </c>
      <c r="E39" s="21">
        <v>17461806</v>
      </c>
      <c r="F39" s="18" t="str">
        <f>INDEX(companies[company_name], MATCH(financials[company_id], companies[company_id], 0))</f>
        <v>ITC</v>
      </c>
      <c r="G39" s="18">
        <f xml:space="preserve"> financials[[#This Row],[revenue]] - financials[[#This Row],[expense]]</f>
        <v>14079770</v>
      </c>
      <c r="H39" s="24" t="str">
        <f>INDEX(companies[industry], MATCH(financials[company_id], companies[company_id], 0))</f>
        <v>FMCG</v>
      </c>
      <c r="I39" s="27">
        <f>IF(financials[[#This Row],[revenue]]=0, 0, financials[[#This Row],[profit]]/financials[[#This Row],[revenue]])</f>
        <v>0.44638765038246664</v>
      </c>
    </row>
    <row r="40" spans="1:9" x14ac:dyDescent="0.35">
      <c r="A40" s="25">
        <v>3</v>
      </c>
      <c r="B40" s="18">
        <v>2021</v>
      </c>
      <c r="C40" s="18">
        <v>3</v>
      </c>
      <c r="D40" s="18">
        <v>48830497</v>
      </c>
      <c r="E40" s="21">
        <v>14492839</v>
      </c>
      <c r="F40" s="18" t="str">
        <f>INDEX(companies[company_name], MATCH(financials[company_id], companies[company_id], 0))</f>
        <v>ITC</v>
      </c>
      <c r="G40" s="18">
        <f xml:space="preserve"> financials[[#This Row],[revenue]] - financials[[#This Row],[expense]]</f>
        <v>34337658</v>
      </c>
      <c r="H40" s="24" t="str">
        <f>INDEX(companies[industry], MATCH(financials[company_id], companies[company_id], 0))</f>
        <v>FMCG</v>
      </c>
      <c r="I40" s="27">
        <f>IF(financials[[#This Row],[revenue]]=0, 0, financials[[#This Row],[profit]]/financials[[#This Row],[revenue]])</f>
        <v>0.70320107534436926</v>
      </c>
    </row>
    <row r="41" spans="1:9" x14ac:dyDescent="0.35">
      <c r="A41" s="25">
        <v>3</v>
      </c>
      <c r="B41" s="18">
        <v>2021</v>
      </c>
      <c r="C41" s="18">
        <v>4</v>
      </c>
      <c r="D41" s="18">
        <v>48793214</v>
      </c>
      <c r="E41" s="21">
        <v>49989273</v>
      </c>
      <c r="F41" s="18" t="str">
        <f>INDEX(companies[company_name], MATCH(financials[company_id], companies[company_id], 0))</f>
        <v>ITC</v>
      </c>
      <c r="G41" s="18">
        <f xml:space="preserve"> financials[[#This Row],[revenue]] - financials[[#This Row],[expense]]</f>
        <v>-1196059</v>
      </c>
      <c r="H41" s="24" t="str">
        <f>INDEX(companies[industry], MATCH(financials[company_id], companies[company_id], 0))</f>
        <v>FMCG</v>
      </c>
      <c r="I41" s="27">
        <f>IF(financials[[#This Row],[revenue]]=0, 0, financials[[#This Row],[profit]]/financials[[#This Row],[revenue]])</f>
        <v>-2.4512814425383004E-2</v>
      </c>
    </row>
    <row r="42" spans="1:9" x14ac:dyDescent="0.35">
      <c r="A42" s="25">
        <v>3</v>
      </c>
      <c r="B42" s="18">
        <v>2022</v>
      </c>
      <c r="C42" s="18">
        <v>1</v>
      </c>
      <c r="D42" s="18">
        <v>37091277</v>
      </c>
      <c r="E42" s="21">
        <v>10468833</v>
      </c>
      <c r="F42" s="18" t="str">
        <f>INDEX(companies[company_name], MATCH(financials[company_id], companies[company_id], 0))</f>
        <v>ITC</v>
      </c>
      <c r="G42" s="18">
        <f xml:space="preserve"> financials[[#This Row],[revenue]] - financials[[#This Row],[expense]]</f>
        <v>26622444</v>
      </c>
      <c r="H42" s="24" t="str">
        <f>INDEX(companies[industry], MATCH(financials[company_id], companies[company_id], 0))</f>
        <v>FMCG</v>
      </c>
      <c r="I42" s="27">
        <f>IF(financials[[#This Row],[revenue]]=0, 0, financials[[#This Row],[profit]]/financials[[#This Row],[revenue]])</f>
        <v>0.71775485109342552</v>
      </c>
    </row>
    <row r="43" spans="1:9" x14ac:dyDescent="0.35">
      <c r="A43" s="25">
        <v>3</v>
      </c>
      <c r="B43" s="18">
        <v>2022</v>
      </c>
      <c r="C43" s="18">
        <v>2</v>
      </c>
      <c r="D43" s="18">
        <v>29188955</v>
      </c>
      <c r="E43" s="21">
        <v>44336233</v>
      </c>
      <c r="F43" s="18" t="str">
        <f>INDEX(companies[company_name], MATCH(financials[company_id], companies[company_id], 0))</f>
        <v>ITC</v>
      </c>
      <c r="G43" s="18">
        <f xml:space="preserve"> financials[[#This Row],[revenue]] - financials[[#This Row],[expense]]</f>
        <v>-15147278</v>
      </c>
      <c r="H43" s="24" t="str">
        <f>INDEX(companies[industry], MATCH(financials[company_id], companies[company_id], 0))</f>
        <v>FMCG</v>
      </c>
      <c r="I43" s="27">
        <f>IF(financials[[#This Row],[revenue]]=0, 0, financials[[#This Row],[profit]]/financials[[#This Row],[revenue]])</f>
        <v>-0.51893868759604445</v>
      </c>
    </row>
    <row r="44" spans="1:9" x14ac:dyDescent="0.35">
      <c r="A44" s="25">
        <v>3</v>
      </c>
      <c r="B44" s="18">
        <v>2022</v>
      </c>
      <c r="C44" s="18">
        <v>3</v>
      </c>
      <c r="D44" s="18">
        <v>21590222</v>
      </c>
      <c r="E44" s="21">
        <v>19591070</v>
      </c>
      <c r="F44" s="18" t="str">
        <f>INDEX(companies[company_name], MATCH(financials[company_id], companies[company_id], 0))</f>
        <v>ITC</v>
      </c>
      <c r="G44" s="18">
        <f xml:space="preserve"> financials[[#This Row],[revenue]] - financials[[#This Row],[expense]]</f>
        <v>1999152</v>
      </c>
      <c r="H44" s="24" t="str">
        <f>INDEX(companies[industry], MATCH(financials[company_id], companies[company_id], 0))</f>
        <v>FMCG</v>
      </c>
      <c r="I44" s="27">
        <f>IF(financials[[#This Row],[revenue]]=0, 0, financials[[#This Row],[profit]]/financials[[#This Row],[revenue]])</f>
        <v>9.2595249831150417E-2</v>
      </c>
    </row>
    <row r="45" spans="1:9" x14ac:dyDescent="0.35">
      <c r="A45" s="25">
        <v>3</v>
      </c>
      <c r="B45" s="18">
        <v>2022</v>
      </c>
      <c r="C45" s="18">
        <v>4</v>
      </c>
      <c r="D45" s="18">
        <v>9686585</v>
      </c>
      <c r="E45" s="21">
        <v>50558320</v>
      </c>
      <c r="F45" s="18" t="str">
        <f>INDEX(companies[company_name], MATCH(financials[company_id], companies[company_id], 0))</f>
        <v>ITC</v>
      </c>
      <c r="G45" s="18">
        <f xml:space="preserve"> financials[[#This Row],[revenue]] - financials[[#This Row],[expense]]</f>
        <v>-40871735</v>
      </c>
      <c r="H45" s="24" t="str">
        <f>INDEX(companies[industry], MATCH(financials[company_id], companies[company_id], 0))</f>
        <v>FMCG</v>
      </c>
      <c r="I45" s="27">
        <f>IF(financials[[#This Row],[revenue]]=0, 0, financials[[#This Row],[profit]]/financials[[#This Row],[revenue]])</f>
        <v>-4.2194163371301654</v>
      </c>
    </row>
    <row r="46" spans="1:9" x14ac:dyDescent="0.35">
      <c r="A46" s="25">
        <v>3</v>
      </c>
      <c r="B46" s="18">
        <v>2023</v>
      </c>
      <c r="C46" s="18">
        <v>1</v>
      </c>
      <c r="D46" s="18">
        <v>12734365</v>
      </c>
      <c r="E46" s="21">
        <v>4953257</v>
      </c>
      <c r="F46" s="18" t="str">
        <f>INDEX(companies[company_name], MATCH(financials[company_id], companies[company_id], 0))</f>
        <v>ITC</v>
      </c>
      <c r="G46" s="18">
        <f xml:space="preserve"> financials[[#This Row],[revenue]] - financials[[#This Row],[expense]]</f>
        <v>7781108</v>
      </c>
      <c r="H46" s="24" t="str">
        <f>INDEX(companies[industry], MATCH(financials[company_id], companies[company_id], 0))</f>
        <v>FMCG</v>
      </c>
      <c r="I46" s="27">
        <f>IF(financials[[#This Row],[revenue]]=0, 0, financials[[#This Row],[profit]]/financials[[#This Row],[revenue]])</f>
        <v>0.61103227369405544</v>
      </c>
    </row>
    <row r="47" spans="1:9" x14ac:dyDescent="0.35">
      <c r="A47" s="25">
        <v>3</v>
      </c>
      <c r="B47" s="18">
        <v>2023</v>
      </c>
      <c r="C47" s="18">
        <v>2</v>
      </c>
      <c r="D47" s="18">
        <v>7670847</v>
      </c>
      <c r="E47" s="21">
        <v>33527664</v>
      </c>
      <c r="F47" s="18" t="str">
        <f>INDEX(companies[company_name], MATCH(financials[company_id], companies[company_id], 0))</f>
        <v>ITC</v>
      </c>
      <c r="G47" s="18">
        <f xml:space="preserve"> financials[[#This Row],[revenue]] - financials[[#This Row],[expense]]</f>
        <v>-25856817</v>
      </c>
      <c r="H47" s="24" t="str">
        <f>INDEX(companies[industry], MATCH(financials[company_id], companies[company_id], 0))</f>
        <v>FMCG</v>
      </c>
      <c r="I47" s="27">
        <f>IF(financials[[#This Row],[revenue]]=0, 0, financials[[#This Row],[profit]]/financials[[#This Row],[revenue]])</f>
        <v>-3.3707903442735856</v>
      </c>
    </row>
    <row r="48" spans="1:9" x14ac:dyDescent="0.35">
      <c r="A48" s="25">
        <v>3</v>
      </c>
      <c r="B48" s="18">
        <v>2023</v>
      </c>
      <c r="C48" s="18">
        <v>3</v>
      </c>
      <c r="D48" s="18">
        <v>39722172</v>
      </c>
      <c r="E48" s="21">
        <v>39273080</v>
      </c>
      <c r="F48" s="18" t="str">
        <f>INDEX(companies[company_name], MATCH(financials[company_id], companies[company_id], 0))</f>
        <v>ITC</v>
      </c>
      <c r="G48" s="18">
        <f xml:space="preserve"> financials[[#This Row],[revenue]] - financials[[#This Row],[expense]]</f>
        <v>449092</v>
      </c>
      <c r="H48" s="24" t="str">
        <f>INDEX(companies[industry], MATCH(financials[company_id], companies[company_id], 0))</f>
        <v>FMCG</v>
      </c>
      <c r="I48" s="27">
        <f>IF(financials[[#This Row],[revenue]]=0, 0, financials[[#This Row],[profit]]/financials[[#This Row],[revenue]])</f>
        <v>1.1305826881772729E-2</v>
      </c>
    </row>
    <row r="49" spans="1:9" x14ac:dyDescent="0.35">
      <c r="A49" s="25">
        <v>3</v>
      </c>
      <c r="B49" s="18">
        <v>2023</v>
      </c>
      <c r="C49" s="18">
        <v>4</v>
      </c>
      <c r="D49" s="18">
        <v>43854528</v>
      </c>
      <c r="E49" s="21">
        <v>1460300</v>
      </c>
      <c r="F49" s="18" t="str">
        <f>INDEX(companies[company_name], MATCH(financials[company_id], companies[company_id], 0))</f>
        <v>ITC</v>
      </c>
      <c r="G49" s="18">
        <f xml:space="preserve"> financials[[#This Row],[revenue]] - financials[[#This Row],[expense]]</f>
        <v>42394228</v>
      </c>
      <c r="H49" s="24" t="str">
        <f>INDEX(companies[industry], MATCH(financials[company_id], companies[company_id], 0))</f>
        <v>FMCG</v>
      </c>
      <c r="I49" s="27">
        <f>IF(financials[[#This Row],[revenue]]=0, 0, financials[[#This Row],[profit]]/financials[[#This Row],[revenue]])</f>
        <v>0.96670127198723932</v>
      </c>
    </row>
    <row r="50" spans="1:9" x14ac:dyDescent="0.35">
      <c r="A50" s="25">
        <v>4</v>
      </c>
      <c r="B50" s="18">
        <v>2020</v>
      </c>
      <c r="C50" s="18">
        <v>1</v>
      </c>
      <c r="D50" s="18">
        <v>22674193</v>
      </c>
      <c r="E50" s="21">
        <v>21823404</v>
      </c>
      <c r="F50" s="18" t="str">
        <f>INDEX(companies[company_name], MATCH(financials[company_id], companies[company_id], 0))</f>
        <v>Byjus</v>
      </c>
      <c r="G50" s="18">
        <f xml:space="preserve"> financials[[#This Row],[revenue]] - financials[[#This Row],[expense]]</f>
        <v>850789</v>
      </c>
      <c r="H50" s="24" t="str">
        <f>INDEX(companies[industry], MATCH(financials[company_id], companies[company_id], 0))</f>
        <v>EdTech</v>
      </c>
      <c r="I50" s="27">
        <f>IF(financials[[#This Row],[revenue]]=0, 0, financials[[#This Row],[profit]]/financials[[#This Row],[revenue]])</f>
        <v>3.7522349748015285E-2</v>
      </c>
    </row>
    <row r="51" spans="1:9" x14ac:dyDescent="0.35">
      <c r="A51" s="25">
        <v>4</v>
      </c>
      <c r="B51" s="18">
        <v>2020</v>
      </c>
      <c r="C51" s="18">
        <v>2</v>
      </c>
      <c r="D51" s="18">
        <v>49003256</v>
      </c>
      <c r="E51" s="21">
        <v>50884236</v>
      </c>
      <c r="F51" s="18" t="str">
        <f>INDEX(companies[company_name], MATCH(financials[company_id], companies[company_id], 0))</f>
        <v>Byjus</v>
      </c>
      <c r="G51" s="18">
        <f xml:space="preserve"> financials[[#This Row],[revenue]] - financials[[#This Row],[expense]]</f>
        <v>-1880980</v>
      </c>
      <c r="H51" s="24" t="str">
        <f>INDEX(companies[industry], MATCH(financials[company_id], companies[company_id], 0))</f>
        <v>EdTech</v>
      </c>
      <c r="I51" s="27">
        <f>IF(financials[[#This Row],[revenue]]=0, 0, financials[[#This Row],[profit]]/financials[[#This Row],[revenue]])</f>
        <v>-3.838479630822899E-2</v>
      </c>
    </row>
    <row r="52" spans="1:9" x14ac:dyDescent="0.35">
      <c r="A52" s="25">
        <v>4</v>
      </c>
      <c r="B52" s="18">
        <v>2020</v>
      </c>
      <c r="C52" s="18">
        <v>3</v>
      </c>
      <c r="D52" s="18">
        <v>1762943</v>
      </c>
      <c r="E52" s="21">
        <v>31662384</v>
      </c>
      <c r="F52" s="18" t="str">
        <f>INDEX(companies[company_name], MATCH(financials[company_id], companies[company_id], 0))</f>
        <v>Byjus</v>
      </c>
      <c r="G52" s="18">
        <f xml:space="preserve"> financials[[#This Row],[revenue]] - financials[[#This Row],[expense]]</f>
        <v>-29899441</v>
      </c>
      <c r="H52" s="24" t="str">
        <f>INDEX(companies[industry], MATCH(financials[company_id], companies[company_id], 0))</f>
        <v>EdTech</v>
      </c>
      <c r="I52" s="27">
        <f>IF(financials[[#This Row],[revenue]]=0, 0, financials[[#This Row],[profit]]/financials[[#This Row],[revenue]])</f>
        <v>-16.959959000376077</v>
      </c>
    </row>
    <row r="53" spans="1:9" x14ac:dyDescent="0.35">
      <c r="A53" s="25">
        <v>4</v>
      </c>
      <c r="B53" s="18">
        <v>2020</v>
      </c>
      <c r="C53" s="18">
        <v>4</v>
      </c>
      <c r="D53" s="18">
        <v>3808724</v>
      </c>
      <c r="E53" s="21">
        <v>55641008</v>
      </c>
      <c r="F53" s="18" t="str">
        <f>INDEX(companies[company_name], MATCH(financials[company_id], companies[company_id], 0))</f>
        <v>Byjus</v>
      </c>
      <c r="G53" s="18">
        <f xml:space="preserve"> financials[[#This Row],[revenue]] - financials[[#This Row],[expense]]</f>
        <v>-51832284</v>
      </c>
      <c r="H53" s="24" t="str">
        <f>INDEX(companies[industry], MATCH(financials[company_id], companies[company_id], 0))</f>
        <v>EdTech</v>
      </c>
      <c r="I53" s="27">
        <f>IF(financials[[#This Row],[revenue]]=0, 0, financials[[#This Row],[profit]]/financials[[#This Row],[revenue]])</f>
        <v>-13.608831724220501</v>
      </c>
    </row>
    <row r="54" spans="1:9" x14ac:dyDescent="0.35">
      <c r="A54" s="25">
        <v>4</v>
      </c>
      <c r="B54" s="18">
        <v>2021</v>
      </c>
      <c r="C54" s="18">
        <v>1</v>
      </c>
      <c r="D54" s="18">
        <v>42235613</v>
      </c>
      <c r="E54" s="21">
        <v>50950717</v>
      </c>
      <c r="F54" s="18" t="str">
        <f>INDEX(companies[company_name], MATCH(financials[company_id], companies[company_id], 0))</f>
        <v>Byjus</v>
      </c>
      <c r="G54" s="18">
        <f xml:space="preserve"> financials[[#This Row],[revenue]] - financials[[#This Row],[expense]]</f>
        <v>-8715104</v>
      </c>
      <c r="H54" s="24" t="str">
        <f>INDEX(companies[industry], MATCH(financials[company_id], companies[company_id], 0))</f>
        <v>EdTech</v>
      </c>
      <c r="I54" s="27">
        <f>IF(financials[[#This Row],[revenue]]=0, 0, financials[[#This Row],[profit]]/financials[[#This Row],[revenue]])</f>
        <v>-0.20634491560475279</v>
      </c>
    </row>
    <row r="55" spans="1:9" x14ac:dyDescent="0.35">
      <c r="A55" s="25">
        <v>4</v>
      </c>
      <c r="B55" s="18">
        <v>2021</v>
      </c>
      <c r="C55" s="18">
        <v>2</v>
      </c>
      <c r="D55" s="18">
        <v>3968642</v>
      </c>
      <c r="E55" s="21">
        <v>39769074</v>
      </c>
      <c r="F55" s="18" t="str">
        <f>INDEX(companies[company_name], MATCH(financials[company_id], companies[company_id], 0))</f>
        <v>Byjus</v>
      </c>
      <c r="G55" s="18">
        <f xml:space="preserve"> financials[[#This Row],[revenue]] - financials[[#This Row],[expense]]</f>
        <v>-35800432</v>
      </c>
      <c r="H55" s="24" t="str">
        <f>INDEX(companies[industry], MATCH(financials[company_id], companies[company_id], 0))</f>
        <v>EdTech</v>
      </c>
      <c r="I55" s="27">
        <f>IF(financials[[#This Row],[revenue]]=0, 0, financials[[#This Row],[profit]]/financials[[#This Row],[revenue]])</f>
        <v>-9.0208267714749777</v>
      </c>
    </row>
    <row r="56" spans="1:9" x14ac:dyDescent="0.35">
      <c r="A56" s="25">
        <v>4</v>
      </c>
      <c r="B56" s="18">
        <v>2021</v>
      </c>
      <c r="C56" s="18">
        <v>3</v>
      </c>
      <c r="D56" s="18">
        <v>17517592</v>
      </c>
      <c r="E56" s="21">
        <v>29123723</v>
      </c>
      <c r="F56" s="18" t="str">
        <f>INDEX(companies[company_name], MATCH(financials[company_id], companies[company_id], 0))</f>
        <v>Byjus</v>
      </c>
      <c r="G56" s="18">
        <f xml:space="preserve"> financials[[#This Row],[revenue]] - financials[[#This Row],[expense]]</f>
        <v>-11606131</v>
      </c>
      <c r="H56" s="24" t="str">
        <f>INDEX(companies[industry], MATCH(financials[company_id], companies[company_id], 0))</f>
        <v>EdTech</v>
      </c>
      <c r="I56" s="27">
        <f>IF(financials[[#This Row],[revenue]]=0, 0, financials[[#This Row],[profit]]/financials[[#This Row],[revenue]])</f>
        <v>-0.6625414611779975</v>
      </c>
    </row>
    <row r="57" spans="1:9" x14ac:dyDescent="0.35">
      <c r="A57" s="25">
        <v>4</v>
      </c>
      <c r="B57" s="18">
        <v>2021</v>
      </c>
      <c r="C57" s="18">
        <v>4</v>
      </c>
      <c r="D57" s="18">
        <v>17432575</v>
      </c>
      <c r="E57" s="21">
        <v>57463411</v>
      </c>
      <c r="F57" s="18" t="str">
        <f>INDEX(companies[company_name], MATCH(financials[company_id], companies[company_id], 0))</f>
        <v>Byjus</v>
      </c>
      <c r="G57" s="18">
        <f xml:space="preserve"> financials[[#This Row],[revenue]] - financials[[#This Row],[expense]]</f>
        <v>-40030836</v>
      </c>
      <c r="H57" s="24" t="str">
        <f>INDEX(companies[industry], MATCH(financials[company_id], companies[company_id], 0))</f>
        <v>EdTech</v>
      </c>
      <c r="I57" s="27">
        <f>IF(financials[[#This Row],[revenue]]=0, 0, financials[[#This Row],[profit]]/financials[[#This Row],[revenue]])</f>
        <v>-2.2963237502204925</v>
      </c>
    </row>
    <row r="58" spans="1:9" x14ac:dyDescent="0.35">
      <c r="A58" s="25">
        <v>4</v>
      </c>
      <c r="B58" s="18">
        <v>2022</v>
      </c>
      <c r="C58" s="18">
        <v>1</v>
      </c>
      <c r="D58" s="18">
        <v>29160085</v>
      </c>
      <c r="E58" s="21">
        <v>32264165</v>
      </c>
      <c r="F58" s="18" t="str">
        <f>INDEX(companies[company_name], MATCH(financials[company_id], companies[company_id], 0))</f>
        <v>Byjus</v>
      </c>
      <c r="G58" s="18">
        <f xml:space="preserve"> financials[[#This Row],[revenue]] - financials[[#This Row],[expense]]</f>
        <v>-3104080</v>
      </c>
      <c r="H58" s="24" t="str">
        <f>INDEX(companies[industry], MATCH(financials[company_id], companies[company_id], 0))</f>
        <v>EdTech</v>
      </c>
      <c r="I58" s="27">
        <f>IF(financials[[#This Row],[revenue]]=0, 0, financials[[#This Row],[profit]]/financials[[#This Row],[revenue]])</f>
        <v>-0.10644962111735957</v>
      </c>
    </row>
    <row r="59" spans="1:9" x14ac:dyDescent="0.35">
      <c r="A59" s="25">
        <v>4</v>
      </c>
      <c r="B59" s="18">
        <v>2022</v>
      </c>
      <c r="C59" s="18">
        <v>2</v>
      </c>
      <c r="D59" s="18">
        <v>48273989</v>
      </c>
      <c r="E59" s="21">
        <v>56566982</v>
      </c>
      <c r="F59" s="18" t="str">
        <f>INDEX(companies[company_name], MATCH(financials[company_id], companies[company_id], 0))</f>
        <v>Byjus</v>
      </c>
      <c r="G59" s="18">
        <f xml:space="preserve"> financials[[#This Row],[revenue]] - financials[[#This Row],[expense]]</f>
        <v>-8292993</v>
      </c>
      <c r="H59" s="24" t="str">
        <f>INDEX(companies[industry], MATCH(financials[company_id], companies[company_id], 0))</f>
        <v>EdTech</v>
      </c>
      <c r="I59" s="27">
        <f>IF(financials[[#This Row],[revenue]]=0, 0, financials[[#This Row],[profit]]/financials[[#This Row],[revenue]])</f>
        <v>-0.17179009176142457</v>
      </c>
    </row>
    <row r="60" spans="1:9" x14ac:dyDescent="0.35">
      <c r="A60" s="25">
        <v>4</v>
      </c>
      <c r="B60" s="18">
        <v>2022</v>
      </c>
      <c r="C60" s="18">
        <v>3</v>
      </c>
      <c r="D60" s="18">
        <v>7236925</v>
      </c>
      <c r="E60" s="21">
        <v>3639752</v>
      </c>
      <c r="F60" s="18" t="str">
        <f>INDEX(companies[company_name], MATCH(financials[company_id], companies[company_id], 0))</f>
        <v>Byjus</v>
      </c>
      <c r="G60" s="18">
        <f xml:space="preserve"> financials[[#This Row],[revenue]] - financials[[#This Row],[expense]]</f>
        <v>3597173</v>
      </c>
      <c r="H60" s="24" t="str">
        <f>INDEX(companies[industry], MATCH(financials[company_id], companies[company_id], 0))</f>
        <v>EdTech</v>
      </c>
      <c r="I60" s="27">
        <f>IF(financials[[#This Row],[revenue]]=0, 0, financials[[#This Row],[profit]]/financials[[#This Row],[revenue]])</f>
        <v>0.49705821187866395</v>
      </c>
    </row>
    <row r="61" spans="1:9" x14ac:dyDescent="0.35">
      <c r="A61" s="25">
        <v>4</v>
      </c>
      <c r="B61" s="18">
        <v>2022</v>
      </c>
      <c r="C61" s="18">
        <v>4</v>
      </c>
      <c r="D61" s="18">
        <v>41854277</v>
      </c>
      <c r="E61" s="21">
        <v>18053700</v>
      </c>
      <c r="F61" s="18" t="str">
        <f>INDEX(companies[company_name], MATCH(financials[company_id], companies[company_id], 0))</f>
        <v>Byjus</v>
      </c>
      <c r="G61" s="18">
        <f xml:space="preserve"> financials[[#This Row],[revenue]] - financials[[#This Row],[expense]]</f>
        <v>23800577</v>
      </c>
      <c r="H61" s="24" t="str">
        <f>INDEX(companies[industry], MATCH(financials[company_id], companies[company_id], 0))</f>
        <v>EdTech</v>
      </c>
      <c r="I61" s="27">
        <f>IF(financials[[#This Row],[revenue]]=0, 0, financials[[#This Row],[profit]]/financials[[#This Row],[revenue]])</f>
        <v>0.56865340189725411</v>
      </c>
    </row>
    <row r="62" spans="1:9" x14ac:dyDescent="0.35">
      <c r="A62" s="25">
        <v>4</v>
      </c>
      <c r="B62" s="18">
        <v>2023</v>
      </c>
      <c r="C62" s="18">
        <v>1</v>
      </c>
      <c r="D62" s="18">
        <v>7700187</v>
      </c>
      <c r="E62" s="21">
        <v>18884347</v>
      </c>
      <c r="F62" s="18" t="str">
        <f>INDEX(companies[company_name], MATCH(financials[company_id], companies[company_id], 0))</f>
        <v>Byjus</v>
      </c>
      <c r="G62" s="18">
        <f xml:space="preserve"> financials[[#This Row],[revenue]] - financials[[#This Row],[expense]]</f>
        <v>-11184160</v>
      </c>
      <c r="H62" s="24" t="str">
        <f>INDEX(companies[industry], MATCH(financials[company_id], companies[company_id], 0))</f>
        <v>EdTech</v>
      </c>
      <c r="I62" s="27">
        <f>IF(financials[[#This Row],[revenue]]=0, 0, financials[[#This Row],[profit]]/financials[[#This Row],[revenue]])</f>
        <v>-1.4524530378288216</v>
      </c>
    </row>
    <row r="63" spans="1:9" x14ac:dyDescent="0.35">
      <c r="A63" s="25">
        <v>4</v>
      </c>
      <c r="B63" s="18">
        <v>2023</v>
      </c>
      <c r="C63" s="18">
        <v>2</v>
      </c>
      <c r="D63" s="18">
        <v>29250916</v>
      </c>
      <c r="E63" s="21">
        <v>13244072</v>
      </c>
      <c r="F63" s="18" t="str">
        <f>INDEX(companies[company_name], MATCH(financials[company_id], companies[company_id], 0))</f>
        <v>Byjus</v>
      </c>
      <c r="G63" s="18">
        <f xml:space="preserve"> financials[[#This Row],[revenue]] - financials[[#This Row],[expense]]</f>
        <v>16006844</v>
      </c>
      <c r="H63" s="24" t="str">
        <f>INDEX(companies[industry], MATCH(financials[company_id], companies[company_id], 0))</f>
        <v>EdTech</v>
      </c>
      <c r="I63" s="27">
        <f>IF(financials[[#This Row],[revenue]]=0, 0, financials[[#This Row],[profit]]/financials[[#This Row],[revenue]])</f>
        <v>0.54722539287316674</v>
      </c>
    </row>
    <row r="64" spans="1:9" x14ac:dyDescent="0.35">
      <c r="A64" s="25">
        <v>4</v>
      </c>
      <c r="B64" s="18">
        <v>2023</v>
      </c>
      <c r="C64" s="18">
        <v>3</v>
      </c>
      <c r="D64" s="18">
        <v>24097130</v>
      </c>
      <c r="E64" s="21">
        <v>7215264</v>
      </c>
      <c r="F64" s="18" t="str">
        <f>INDEX(companies[company_name], MATCH(financials[company_id], companies[company_id], 0))</f>
        <v>Byjus</v>
      </c>
      <c r="G64" s="18">
        <f xml:space="preserve"> financials[[#This Row],[revenue]] - financials[[#This Row],[expense]]</f>
        <v>16881866</v>
      </c>
      <c r="H64" s="24" t="str">
        <f>INDEX(companies[industry], MATCH(financials[company_id], companies[company_id], 0))</f>
        <v>EdTech</v>
      </c>
      <c r="I64" s="27">
        <f>IF(financials[[#This Row],[revenue]]=0, 0, financials[[#This Row],[profit]]/financials[[#This Row],[revenue]])</f>
        <v>0.70057579471082243</v>
      </c>
    </row>
    <row r="65" spans="1:9" x14ac:dyDescent="0.35">
      <c r="A65" s="25">
        <v>4</v>
      </c>
      <c r="B65" s="18">
        <v>2023</v>
      </c>
      <c r="C65" s="18">
        <v>4</v>
      </c>
      <c r="D65" s="18">
        <v>16306236</v>
      </c>
      <c r="E65" s="21">
        <v>3607058</v>
      </c>
      <c r="F65" s="18" t="str">
        <f>INDEX(companies[company_name], MATCH(financials[company_id], companies[company_id], 0))</f>
        <v>Byjus</v>
      </c>
      <c r="G65" s="18">
        <f xml:space="preserve"> financials[[#This Row],[revenue]] - financials[[#This Row],[expense]]</f>
        <v>12699178</v>
      </c>
      <c r="H65" s="24" t="str">
        <f>INDEX(companies[industry], MATCH(financials[company_id], companies[company_id], 0))</f>
        <v>EdTech</v>
      </c>
      <c r="I65" s="27">
        <f>IF(financials[[#This Row],[revenue]]=0, 0, financials[[#This Row],[profit]]/financials[[#This Row],[revenue]])</f>
        <v>0.77879272690521595</v>
      </c>
    </row>
    <row r="66" spans="1:9" x14ac:dyDescent="0.35">
      <c r="A66" s="25">
        <v>5</v>
      </c>
      <c r="B66" s="18">
        <v>2020</v>
      </c>
      <c r="C66" s="18">
        <v>1</v>
      </c>
      <c r="D66" s="18">
        <v>45068891</v>
      </c>
      <c r="E66" s="21">
        <v>17534822</v>
      </c>
      <c r="F66" s="18" t="str">
        <f>INDEX(companies[company_name], MATCH(financials[company_id], companies[company_id], 0))</f>
        <v>Infosys</v>
      </c>
      <c r="G66" s="18">
        <f xml:space="preserve"> financials[[#This Row],[revenue]] - financials[[#This Row],[expense]]</f>
        <v>27534069</v>
      </c>
      <c r="H66" s="24" t="str">
        <f>INDEX(companies[industry], MATCH(financials[company_id], companies[company_id], 0))</f>
        <v>IT</v>
      </c>
      <c r="I66" s="27">
        <f>IF(financials[[#This Row],[revenue]]=0, 0, financials[[#This Row],[profit]]/financials[[#This Row],[revenue]])</f>
        <v>0.61093291601073563</v>
      </c>
    </row>
    <row r="67" spans="1:9" x14ac:dyDescent="0.35">
      <c r="A67" s="25">
        <v>5</v>
      </c>
      <c r="B67" s="18">
        <v>2020</v>
      </c>
      <c r="C67" s="18">
        <v>2</v>
      </c>
      <c r="D67" s="18">
        <v>7503645</v>
      </c>
      <c r="E67" s="21">
        <v>23214718</v>
      </c>
      <c r="F67" s="18" t="str">
        <f>INDEX(companies[company_name], MATCH(financials[company_id], companies[company_id], 0))</f>
        <v>Infosys</v>
      </c>
      <c r="G67" s="18">
        <f xml:space="preserve"> financials[[#This Row],[revenue]] - financials[[#This Row],[expense]]</f>
        <v>-15711073</v>
      </c>
      <c r="H67" s="24" t="str">
        <f>INDEX(companies[industry], MATCH(financials[company_id], companies[company_id], 0))</f>
        <v>IT</v>
      </c>
      <c r="I67" s="27">
        <f>IF(financials[[#This Row],[revenue]]=0, 0, financials[[#This Row],[profit]]/financials[[#This Row],[revenue]])</f>
        <v>-2.0937921503482642</v>
      </c>
    </row>
    <row r="68" spans="1:9" x14ac:dyDescent="0.35">
      <c r="A68" s="25">
        <v>5</v>
      </c>
      <c r="B68" s="18">
        <v>2020</v>
      </c>
      <c r="C68" s="18">
        <v>3</v>
      </c>
      <c r="D68" s="18">
        <v>2797558</v>
      </c>
      <c r="E68" s="21">
        <v>38738751</v>
      </c>
      <c r="F68" s="18" t="str">
        <f>INDEX(companies[company_name], MATCH(financials[company_id], companies[company_id], 0))</f>
        <v>Infosys</v>
      </c>
      <c r="G68" s="18">
        <f xml:space="preserve"> financials[[#This Row],[revenue]] - financials[[#This Row],[expense]]</f>
        <v>-35941193</v>
      </c>
      <c r="H68" s="24" t="str">
        <f>INDEX(companies[industry], MATCH(financials[company_id], companies[company_id], 0))</f>
        <v>IT</v>
      </c>
      <c r="I68" s="27">
        <f>IF(financials[[#This Row],[revenue]]=0, 0, financials[[#This Row],[profit]]/financials[[#This Row],[revenue]])</f>
        <v>-12.847345077385349</v>
      </c>
    </row>
    <row r="69" spans="1:9" x14ac:dyDescent="0.35">
      <c r="A69" s="25">
        <v>5</v>
      </c>
      <c r="B69" s="18">
        <v>2020</v>
      </c>
      <c r="C69" s="18">
        <v>4</v>
      </c>
      <c r="D69" s="18">
        <v>22200911</v>
      </c>
      <c r="E69" s="21">
        <v>34511402</v>
      </c>
      <c r="F69" s="18" t="str">
        <f>INDEX(companies[company_name], MATCH(financials[company_id], companies[company_id], 0))</f>
        <v>Infosys</v>
      </c>
      <c r="G69" s="18">
        <f xml:space="preserve"> financials[[#This Row],[revenue]] - financials[[#This Row],[expense]]</f>
        <v>-12310491</v>
      </c>
      <c r="H69" s="24" t="str">
        <f>INDEX(companies[industry], MATCH(financials[company_id], companies[company_id], 0))</f>
        <v>IT</v>
      </c>
      <c r="I69" s="27">
        <f>IF(financials[[#This Row],[revenue]]=0, 0, financials[[#This Row],[profit]]/financials[[#This Row],[revenue]])</f>
        <v>-0.55450386698095411</v>
      </c>
    </row>
    <row r="70" spans="1:9" x14ac:dyDescent="0.35">
      <c r="A70" s="25">
        <v>5</v>
      </c>
      <c r="B70" s="18">
        <v>2021</v>
      </c>
      <c r="C70" s="18">
        <v>1</v>
      </c>
      <c r="D70" s="18">
        <v>13386156</v>
      </c>
      <c r="E70" s="21">
        <v>37825723</v>
      </c>
      <c r="F70" s="18" t="str">
        <f>INDEX(companies[company_name], MATCH(financials[company_id], companies[company_id], 0))</f>
        <v>Infosys</v>
      </c>
      <c r="G70" s="18">
        <f xml:space="preserve"> financials[[#This Row],[revenue]] - financials[[#This Row],[expense]]</f>
        <v>-24439567</v>
      </c>
      <c r="H70" s="24" t="str">
        <f>INDEX(companies[industry], MATCH(financials[company_id], companies[company_id], 0))</f>
        <v>IT</v>
      </c>
      <c r="I70" s="27">
        <f>IF(financials[[#This Row],[revenue]]=0, 0, financials[[#This Row],[profit]]/financials[[#This Row],[revenue]])</f>
        <v>-1.8257345125815059</v>
      </c>
    </row>
    <row r="71" spans="1:9" x14ac:dyDescent="0.35">
      <c r="A71" s="25">
        <v>5</v>
      </c>
      <c r="B71" s="18">
        <v>2021</v>
      </c>
      <c r="C71" s="18">
        <v>2</v>
      </c>
      <c r="D71" s="18">
        <v>36472618</v>
      </c>
      <c r="E71" s="21">
        <v>42089852</v>
      </c>
      <c r="F71" s="18" t="str">
        <f>INDEX(companies[company_name], MATCH(financials[company_id], companies[company_id], 0))</f>
        <v>Infosys</v>
      </c>
      <c r="G71" s="18">
        <f xml:space="preserve"> financials[[#This Row],[revenue]] - financials[[#This Row],[expense]]</f>
        <v>-5617234</v>
      </c>
      <c r="H71" s="24" t="str">
        <f>INDEX(companies[industry], MATCH(financials[company_id], companies[company_id], 0))</f>
        <v>IT</v>
      </c>
      <c r="I71" s="27">
        <f>IF(financials[[#This Row],[revenue]]=0, 0, financials[[#This Row],[profit]]/financials[[#This Row],[revenue]])</f>
        <v>-0.15401236072496907</v>
      </c>
    </row>
    <row r="72" spans="1:9" x14ac:dyDescent="0.35">
      <c r="A72" s="25">
        <v>5</v>
      </c>
      <c r="B72" s="18">
        <v>2021</v>
      </c>
      <c r="C72" s="18">
        <v>3</v>
      </c>
      <c r="D72" s="18">
        <v>39138255</v>
      </c>
      <c r="E72" s="21">
        <v>4730070</v>
      </c>
      <c r="F72" s="18" t="str">
        <f>INDEX(companies[company_name], MATCH(financials[company_id], companies[company_id], 0))</f>
        <v>Infosys</v>
      </c>
      <c r="G72" s="18">
        <f xml:space="preserve"> financials[[#This Row],[revenue]] - financials[[#This Row],[expense]]</f>
        <v>34408185</v>
      </c>
      <c r="H72" s="24" t="str">
        <f>INDEX(companies[industry], MATCH(financials[company_id], companies[company_id], 0))</f>
        <v>IT</v>
      </c>
      <c r="I72" s="27">
        <f>IF(financials[[#This Row],[revenue]]=0, 0, financials[[#This Row],[profit]]/financials[[#This Row],[revenue]])</f>
        <v>0.87914458628776371</v>
      </c>
    </row>
    <row r="73" spans="1:9" x14ac:dyDescent="0.35">
      <c r="A73" s="25">
        <v>5</v>
      </c>
      <c r="B73" s="18">
        <v>2021</v>
      </c>
      <c r="C73" s="18">
        <v>4</v>
      </c>
      <c r="D73" s="18">
        <v>23917036</v>
      </c>
      <c r="E73" s="21">
        <v>55267350</v>
      </c>
      <c r="F73" s="18" t="str">
        <f>INDEX(companies[company_name], MATCH(financials[company_id], companies[company_id], 0))</f>
        <v>Infosys</v>
      </c>
      <c r="G73" s="18">
        <f xml:space="preserve"> financials[[#This Row],[revenue]] - financials[[#This Row],[expense]]</f>
        <v>-31350314</v>
      </c>
      <c r="H73" s="24" t="str">
        <f>INDEX(companies[industry], MATCH(financials[company_id], companies[company_id], 0))</f>
        <v>IT</v>
      </c>
      <c r="I73" s="27">
        <f>IF(financials[[#This Row],[revenue]]=0, 0, financials[[#This Row],[profit]]/financials[[#This Row],[revenue]])</f>
        <v>-1.3107942806959858</v>
      </c>
    </row>
    <row r="74" spans="1:9" x14ac:dyDescent="0.35">
      <c r="A74" s="25">
        <v>5</v>
      </c>
      <c r="B74" s="18">
        <v>2022</v>
      </c>
      <c r="C74" s="18">
        <v>1</v>
      </c>
      <c r="D74" s="18">
        <v>29506152</v>
      </c>
      <c r="E74" s="21">
        <v>30100562</v>
      </c>
      <c r="F74" s="18" t="str">
        <f>INDEX(companies[company_name], MATCH(financials[company_id], companies[company_id], 0))</f>
        <v>Infosys</v>
      </c>
      <c r="G74" s="18">
        <f xml:space="preserve"> financials[[#This Row],[revenue]] - financials[[#This Row],[expense]]</f>
        <v>-594410</v>
      </c>
      <c r="H74" s="24" t="str">
        <f>INDEX(companies[industry], MATCH(financials[company_id], companies[company_id], 0))</f>
        <v>IT</v>
      </c>
      <c r="I74" s="27">
        <f>IF(financials[[#This Row],[revenue]]=0, 0, financials[[#This Row],[profit]]/financials[[#This Row],[revenue]])</f>
        <v>-2.0145290378765758E-2</v>
      </c>
    </row>
    <row r="75" spans="1:9" x14ac:dyDescent="0.35">
      <c r="A75" s="25">
        <v>5</v>
      </c>
      <c r="B75" s="18">
        <v>2022</v>
      </c>
      <c r="C75" s="18">
        <v>2</v>
      </c>
      <c r="D75" s="18">
        <v>27062864</v>
      </c>
      <c r="E75" s="21">
        <v>31612486</v>
      </c>
      <c r="F75" s="18" t="str">
        <f>INDEX(companies[company_name], MATCH(financials[company_id], companies[company_id], 0))</f>
        <v>Infosys</v>
      </c>
      <c r="G75" s="18">
        <f xml:space="preserve"> financials[[#This Row],[revenue]] - financials[[#This Row],[expense]]</f>
        <v>-4549622</v>
      </c>
      <c r="H75" s="24" t="str">
        <f>INDEX(companies[industry], MATCH(financials[company_id], companies[company_id], 0))</f>
        <v>IT</v>
      </c>
      <c r="I75" s="27">
        <f>IF(financials[[#This Row],[revenue]]=0, 0, financials[[#This Row],[profit]]/financials[[#This Row],[revenue]])</f>
        <v>-0.16811310140715335</v>
      </c>
    </row>
    <row r="76" spans="1:9" x14ac:dyDescent="0.35">
      <c r="A76" s="25">
        <v>5</v>
      </c>
      <c r="B76" s="18">
        <v>2022</v>
      </c>
      <c r="C76" s="18">
        <v>3</v>
      </c>
      <c r="D76" s="18">
        <v>44652860</v>
      </c>
      <c r="E76" s="21">
        <v>56345317</v>
      </c>
      <c r="F76" s="18" t="str">
        <f>INDEX(companies[company_name], MATCH(financials[company_id], companies[company_id], 0))</f>
        <v>Infosys</v>
      </c>
      <c r="G76" s="18">
        <f xml:space="preserve"> financials[[#This Row],[revenue]] - financials[[#This Row],[expense]]</f>
        <v>-11692457</v>
      </c>
      <c r="H76" s="24" t="str">
        <f>INDEX(companies[industry], MATCH(financials[company_id], companies[company_id], 0))</f>
        <v>IT</v>
      </c>
      <c r="I76" s="27">
        <f>IF(financials[[#This Row],[revenue]]=0, 0, financials[[#This Row],[profit]]/financials[[#This Row],[revenue]])</f>
        <v>-0.2618523651116636</v>
      </c>
    </row>
    <row r="77" spans="1:9" x14ac:dyDescent="0.35">
      <c r="A77" s="25">
        <v>5</v>
      </c>
      <c r="B77" s="18">
        <v>2022</v>
      </c>
      <c r="C77" s="18">
        <v>4</v>
      </c>
      <c r="D77" s="18">
        <v>32046888</v>
      </c>
      <c r="E77" s="21">
        <v>42253751</v>
      </c>
      <c r="F77" s="18" t="str">
        <f>INDEX(companies[company_name], MATCH(financials[company_id], companies[company_id], 0))</f>
        <v>Infosys</v>
      </c>
      <c r="G77" s="18">
        <f xml:space="preserve"> financials[[#This Row],[revenue]] - financials[[#This Row],[expense]]</f>
        <v>-10206863</v>
      </c>
      <c r="H77" s="24" t="str">
        <f>INDEX(companies[industry], MATCH(financials[company_id], companies[company_id], 0))</f>
        <v>IT</v>
      </c>
      <c r="I77" s="27">
        <f>IF(financials[[#This Row],[revenue]]=0, 0, financials[[#This Row],[profit]]/financials[[#This Row],[revenue]])</f>
        <v>-0.31849778986340266</v>
      </c>
    </row>
    <row r="78" spans="1:9" x14ac:dyDescent="0.35">
      <c r="A78" s="25">
        <v>5</v>
      </c>
      <c r="B78" s="18">
        <v>2023</v>
      </c>
      <c r="C78" s="18">
        <v>1</v>
      </c>
      <c r="D78" s="18">
        <v>17414078</v>
      </c>
      <c r="E78" s="21">
        <v>39825677</v>
      </c>
      <c r="F78" s="18" t="str">
        <f>INDEX(companies[company_name], MATCH(financials[company_id], companies[company_id], 0))</f>
        <v>Infosys</v>
      </c>
      <c r="G78" s="18">
        <f xml:space="preserve"> financials[[#This Row],[revenue]] - financials[[#This Row],[expense]]</f>
        <v>-22411599</v>
      </c>
      <c r="H78" s="24" t="str">
        <f>INDEX(companies[industry], MATCH(financials[company_id], companies[company_id], 0))</f>
        <v>IT</v>
      </c>
      <c r="I78" s="27">
        <f>IF(financials[[#This Row],[revenue]]=0, 0, financials[[#This Row],[profit]]/financials[[#This Row],[revenue]])</f>
        <v>-1.2869816593218428</v>
      </c>
    </row>
    <row r="79" spans="1:9" x14ac:dyDescent="0.35">
      <c r="A79" s="25">
        <v>5</v>
      </c>
      <c r="B79" s="18">
        <v>2023</v>
      </c>
      <c r="C79" s="18">
        <v>2</v>
      </c>
      <c r="D79" s="18">
        <v>44883318</v>
      </c>
      <c r="E79" s="21">
        <v>51274570</v>
      </c>
      <c r="F79" s="18" t="str">
        <f>INDEX(companies[company_name], MATCH(financials[company_id], companies[company_id], 0))</f>
        <v>Infosys</v>
      </c>
      <c r="G79" s="18">
        <f xml:space="preserve"> financials[[#This Row],[revenue]] - financials[[#This Row],[expense]]</f>
        <v>-6391252</v>
      </c>
      <c r="H79" s="24" t="str">
        <f>INDEX(companies[industry], MATCH(financials[company_id], companies[company_id], 0))</f>
        <v>IT</v>
      </c>
      <c r="I79" s="27">
        <f>IF(financials[[#This Row],[revenue]]=0, 0, financials[[#This Row],[profit]]/financials[[#This Row],[revenue]])</f>
        <v>-0.14239704827526342</v>
      </c>
    </row>
    <row r="80" spans="1:9" x14ac:dyDescent="0.35">
      <c r="A80" s="25">
        <v>5</v>
      </c>
      <c r="B80" s="18">
        <v>2023</v>
      </c>
      <c r="C80" s="18">
        <v>3</v>
      </c>
      <c r="D80" s="18">
        <v>15617412</v>
      </c>
      <c r="E80" s="21">
        <v>4999222</v>
      </c>
      <c r="F80" s="18" t="str">
        <f>INDEX(companies[company_name], MATCH(financials[company_id], companies[company_id], 0))</f>
        <v>Infosys</v>
      </c>
      <c r="G80" s="18">
        <f xml:space="preserve"> financials[[#This Row],[revenue]] - financials[[#This Row],[expense]]</f>
        <v>10618190</v>
      </c>
      <c r="H80" s="24" t="str">
        <f>INDEX(companies[industry], MATCH(financials[company_id], companies[company_id], 0))</f>
        <v>IT</v>
      </c>
      <c r="I80" s="27">
        <f>IF(financials[[#This Row],[revenue]]=0, 0, financials[[#This Row],[profit]]/financials[[#This Row],[revenue]])</f>
        <v>0.67989433844736891</v>
      </c>
    </row>
    <row r="81" spans="1:9" x14ac:dyDescent="0.35">
      <c r="A81" s="26">
        <v>5</v>
      </c>
      <c r="B81" s="19">
        <v>2023</v>
      </c>
      <c r="C81" s="19">
        <v>4</v>
      </c>
      <c r="D81" s="19">
        <v>29153835</v>
      </c>
      <c r="E81" s="23">
        <v>16045591</v>
      </c>
      <c r="F81" s="19" t="str">
        <f>INDEX(companies[company_name], MATCH(financials[company_id], companies[company_id], 0))</f>
        <v>Infosys</v>
      </c>
      <c r="G81" s="19">
        <f xml:space="preserve"> financials[[#This Row],[revenue]] - financials[[#This Row],[expense]]</f>
        <v>13108244</v>
      </c>
      <c r="H81" s="24" t="str">
        <f>INDEX(companies[industry], MATCH(financials[company_id], companies[company_id], 0))</f>
        <v>IT</v>
      </c>
      <c r="I81" s="27">
        <f>IF(financials[[#This Row],[revenue]]=0, 0, financials[[#This Row],[profit]]/financials[[#This Row],[revenue]])</f>
        <v>0.44962331713820841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B7939-2B3C-472E-9D00-1ACDE65705EC}">
  <dimension ref="A1:H102"/>
  <sheetViews>
    <sheetView zoomScale="76" workbookViewId="0">
      <selection activeCell="G8" sqref="G8"/>
    </sheetView>
  </sheetViews>
  <sheetFormatPr defaultRowHeight="14.5" x14ac:dyDescent="0.35"/>
  <cols>
    <col min="1" max="1" width="17.26953125" style="13" customWidth="1"/>
    <col min="2" max="2" width="13.453125" customWidth="1"/>
    <col min="3" max="3" width="10.6328125" bestFit="1" customWidth="1"/>
    <col min="4" max="4" width="13.36328125" bestFit="1" customWidth="1"/>
    <col min="5" max="5" width="18" bestFit="1" customWidth="1"/>
    <col min="6" max="6" width="20.453125" style="3" bestFit="1" customWidth="1"/>
    <col min="7" max="7" width="16.54296875" bestFit="1" customWidth="1"/>
    <col min="8" max="8" width="16.36328125" bestFit="1" customWidth="1"/>
  </cols>
  <sheetData>
    <row r="1" spans="1:8" s="4" customFormat="1" x14ac:dyDescent="0.35">
      <c r="A1" s="11" t="s">
        <v>15</v>
      </c>
      <c r="B1" s="9" t="s">
        <v>20</v>
      </c>
      <c r="C1" s="9" t="s">
        <v>6</v>
      </c>
      <c r="D1" s="9" t="s">
        <v>17</v>
      </c>
      <c r="E1" s="10" t="s">
        <v>22</v>
      </c>
      <c r="F1" s="9" t="s">
        <v>5</v>
      </c>
      <c r="G1" s="9" t="s">
        <v>21</v>
      </c>
      <c r="H1" s="9" t="s">
        <v>24</v>
      </c>
    </row>
    <row r="2" spans="1:8" x14ac:dyDescent="0.35">
      <c r="A2" s="20">
        <v>1</v>
      </c>
      <c r="B2" s="18">
        <v>1</v>
      </c>
      <c r="C2" s="18">
        <v>2021</v>
      </c>
      <c r="D2" s="18">
        <v>1</v>
      </c>
      <c r="E2" s="21">
        <v>2743415</v>
      </c>
      <c r="F2" s="17" t="str">
        <f>INDEX(companies[company_name], MATCH(dept_expenses[company_id], companies[company_id], 0))</f>
        <v>TCS</v>
      </c>
      <c r="G2" s="17" t="str">
        <f>INDEX(departments[dept_name], MATCH(dept_expenses[dept_id], departments[dept_id], 0))</f>
        <v>Sales</v>
      </c>
      <c r="H2" s="24" t="str">
        <f>dept_expenses[[#This Row],[year]] &amp; "-Q" &amp; dept_expenses[[#This Row],[quarter]]</f>
        <v>2021-Q1</v>
      </c>
    </row>
    <row r="3" spans="1:8" x14ac:dyDescent="0.35">
      <c r="A3" s="20">
        <v>1</v>
      </c>
      <c r="B3" s="18">
        <v>1</v>
      </c>
      <c r="C3" s="18">
        <v>2022</v>
      </c>
      <c r="D3" s="18">
        <v>3</v>
      </c>
      <c r="E3" s="21">
        <v>5763938</v>
      </c>
      <c r="F3" s="18" t="str">
        <f>INDEX(companies[company_name], MATCH(dept_expenses[company_id], companies[company_id], 0))</f>
        <v>TCS</v>
      </c>
      <c r="G3" s="18" t="str">
        <f>INDEX(departments[dept_name], MATCH(dept_expenses[dept_id], departments[dept_id], 0))</f>
        <v>Sales</v>
      </c>
      <c r="H3" s="24" t="str">
        <f>dept_expenses[[#This Row],[year]] &amp; "-Q" &amp; dept_expenses[[#This Row],[quarter]]</f>
        <v>2022-Q3</v>
      </c>
    </row>
    <row r="4" spans="1:8" x14ac:dyDescent="0.35">
      <c r="A4" s="20">
        <v>1</v>
      </c>
      <c r="B4" s="18">
        <v>1</v>
      </c>
      <c r="C4" s="18">
        <v>2023</v>
      </c>
      <c r="D4" s="18">
        <v>2</v>
      </c>
      <c r="E4" s="21">
        <v>4940831</v>
      </c>
      <c r="F4" s="18" t="str">
        <f>INDEX(companies[company_name], MATCH(dept_expenses[company_id], companies[company_id], 0))</f>
        <v>TCS</v>
      </c>
      <c r="G4" s="18" t="str">
        <f>INDEX(departments[dept_name], MATCH(dept_expenses[dept_id], departments[dept_id], 0))</f>
        <v>Sales</v>
      </c>
      <c r="H4" s="24" t="str">
        <f>dept_expenses[[#This Row],[year]] &amp; "-Q" &amp; dept_expenses[[#This Row],[quarter]]</f>
        <v>2023-Q2</v>
      </c>
    </row>
    <row r="5" spans="1:8" x14ac:dyDescent="0.35">
      <c r="A5" s="20">
        <v>1</v>
      </c>
      <c r="B5" s="18">
        <v>1</v>
      </c>
      <c r="C5" s="18">
        <v>2023</v>
      </c>
      <c r="D5" s="18">
        <v>4</v>
      </c>
      <c r="E5" s="21">
        <v>6620619</v>
      </c>
      <c r="F5" s="18" t="str">
        <f>INDEX(companies[company_name], MATCH(dept_expenses[company_id], companies[company_id], 0))</f>
        <v>TCS</v>
      </c>
      <c r="G5" s="18" t="str">
        <f>INDEX(departments[dept_name], MATCH(dept_expenses[dept_id], departments[dept_id], 0))</f>
        <v>Sales</v>
      </c>
      <c r="H5" s="24" t="str">
        <f>dept_expenses[[#This Row],[year]] &amp; "-Q" &amp; dept_expenses[[#This Row],[quarter]]</f>
        <v>2023-Q4</v>
      </c>
    </row>
    <row r="6" spans="1:8" x14ac:dyDescent="0.35">
      <c r="A6" s="20">
        <v>1</v>
      </c>
      <c r="B6" s="18">
        <v>2</v>
      </c>
      <c r="C6" s="18">
        <v>2021</v>
      </c>
      <c r="D6" s="18">
        <v>3</v>
      </c>
      <c r="E6" s="21">
        <v>862989</v>
      </c>
      <c r="F6" s="18" t="str">
        <f>INDEX(companies[company_name], MATCH(dept_expenses[company_id], companies[company_id], 0))</f>
        <v>TCS</v>
      </c>
      <c r="G6" s="18" t="str">
        <f>INDEX(departments[dept_name], MATCH(dept_expenses[dept_id], departments[dept_id], 0))</f>
        <v>HR</v>
      </c>
      <c r="H6" s="24" t="str">
        <f>dept_expenses[[#This Row],[year]] &amp; "-Q" &amp; dept_expenses[[#This Row],[quarter]]</f>
        <v>2021-Q3</v>
      </c>
    </row>
    <row r="7" spans="1:8" x14ac:dyDescent="0.35">
      <c r="A7" s="20">
        <v>1</v>
      </c>
      <c r="B7" s="18">
        <v>2</v>
      </c>
      <c r="C7" s="18">
        <v>2022</v>
      </c>
      <c r="D7" s="18">
        <v>1</v>
      </c>
      <c r="E7" s="21">
        <v>9551540</v>
      </c>
      <c r="F7" s="18" t="str">
        <f>INDEX(companies[company_name], MATCH(dept_expenses[company_id], companies[company_id], 0))</f>
        <v>TCS</v>
      </c>
      <c r="G7" s="18" t="str">
        <f>INDEX(departments[dept_name], MATCH(dept_expenses[dept_id], departments[dept_id], 0))</f>
        <v>HR</v>
      </c>
      <c r="H7" s="24" t="str">
        <f>dept_expenses[[#This Row],[year]] &amp; "-Q" &amp; dept_expenses[[#This Row],[quarter]]</f>
        <v>2022-Q1</v>
      </c>
    </row>
    <row r="8" spans="1:8" x14ac:dyDescent="0.35">
      <c r="A8" s="20">
        <v>1</v>
      </c>
      <c r="B8" s="18">
        <v>2</v>
      </c>
      <c r="C8" s="18">
        <v>2022</v>
      </c>
      <c r="D8" s="18">
        <v>2</v>
      </c>
      <c r="E8" s="21">
        <v>8058193</v>
      </c>
      <c r="F8" s="18" t="str">
        <f>INDEX(companies[company_name], MATCH(dept_expenses[company_id], companies[company_id], 0))</f>
        <v>TCS</v>
      </c>
      <c r="G8" s="18" t="str">
        <f>INDEX(departments[dept_name], MATCH(dept_expenses[dept_id], departments[dept_id], 0))</f>
        <v>HR</v>
      </c>
      <c r="H8" s="24" t="str">
        <f>dept_expenses[[#This Row],[year]] &amp; "-Q" &amp; dept_expenses[[#This Row],[quarter]]</f>
        <v>2022-Q2</v>
      </c>
    </row>
    <row r="9" spans="1:8" x14ac:dyDescent="0.35">
      <c r="A9" s="20">
        <v>1</v>
      </c>
      <c r="B9" s="18">
        <v>2</v>
      </c>
      <c r="C9" s="18">
        <v>2023</v>
      </c>
      <c r="D9" s="18">
        <v>4</v>
      </c>
      <c r="E9" s="21">
        <v>2844433</v>
      </c>
      <c r="F9" s="18" t="str">
        <f>INDEX(companies[company_name], MATCH(dept_expenses[company_id], companies[company_id], 0))</f>
        <v>TCS</v>
      </c>
      <c r="G9" s="18" t="str">
        <f>INDEX(departments[dept_name], MATCH(dept_expenses[dept_id], departments[dept_id], 0))</f>
        <v>HR</v>
      </c>
      <c r="H9" s="24" t="str">
        <f>dept_expenses[[#This Row],[year]] &amp; "-Q" &amp; dept_expenses[[#This Row],[quarter]]</f>
        <v>2023-Q4</v>
      </c>
    </row>
    <row r="10" spans="1:8" x14ac:dyDescent="0.35">
      <c r="A10" s="20">
        <v>1</v>
      </c>
      <c r="B10" s="18">
        <v>3</v>
      </c>
      <c r="C10" s="18">
        <v>2020</v>
      </c>
      <c r="D10" s="18">
        <v>2</v>
      </c>
      <c r="E10" s="21">
        <v>2226450</v>
      </c>
      <c r="F10" s="18" t="str">
        <f>INDEX(companies[company_name], MATCH(dept_expenses[company_id], companies[company_id], 0))</f>
        <v>TCS</v>
      </c>
      <c r="G10" s="18" t="str">
        <f>INDEX(departments[dept_name], MATCH(dept_expenses[dept_id], departments[dept_id], 0))</f>
        <v>Finance</v>
      </c>
      <c r="H10" s="24" t="str">
        <f>dept_expenses[[#This Row],[year]] &amp; "-Q" &amp; dept_expenses[[#This Row],[quarter]]</f>
        <v>2020-Q2</v>
      </c>
    </row>
    <row r="11" spans="1:8" x14ac:dyDescent="0.35">
      <c r="A11" s="20">
        <v>1</v>
      </c>
      <c r="B11" s="18">
        <v>3</v>
      </c>
      <c r="C11" s="18">
        <v>2020</v>
      </c>
      <c r="D11" s="18">
        <v>3</v>
      </c>
      <c r="E11" s="21">
        <v>5824423</v>
      </c>
      <c r="F11" s="18" t="str">
        <f>INDEX(companies[company_name], MATCH(dept_expenses[company_id], companies[company_id], 0))</f>
        <v>TCS</v>
      </c>
      <c r="G11" s="18" t="str">
        <f>INDEX(departments[dept_name], MATCH(dept_expenses[dept_id], departments[dept_id], 0))</f>
        <v>Finance</v>
      </c>
      <c r="H11" s="24" t="str">
        <f>dept_expenses[[#This Row],[year]] &amp; "-Q" &amp; dept_expenses[[#This Row],[quarter]]</f>
        <v>2020-Q3</v>
      </c>
    </row>
    <row r="12" spans="1:8" x14ac:dyDescent="0.35">
      <c r="A12" s="20">
        <v>1</v>
      </c>
      <c r="B12" s="18">
        <v>3</v>
      </c>
      <c r="C12" s="18">
        <v>2023</v>
      </c>
      <c r="D12" s="18">
        <v>1</v>
      </c>
      <c r="E12" s="21">
        <v>4701169</v>
      </c>
      <c r="F12" s="18" t="str">
        <f>INDEX(companies[company_name], MATCH(dept_expenses[company_id], companies[company_id], 0))</f>
        <v>TCS</v>
      </c>
      <c r="G12" s="18" t="str">
        <f>INDEX(departments[dept_name], MATCH(dept_expenses[dept_id], departments[dept_id], 0))</f>
        <v>Finance</v>
      </c>
      <c r="H12" s="24" t="str">
        <f>dept_expenses[[#This Row],[year]] &amp; "-Q" &amp; dept_expenses[[#This Row],[quarter]]</f>
        <v>2023-Q1</v>
      </c>
    </row>
    <row r="13" spans="1:8" x14ac:dyDescent="0.35">
      <c r="A13" s="20">
        <v>1</v>
      </c>
      <c r="B13" s="18">
        <v>3</v>
      </c>
      <c r="C13" s="18">
        <v>2023</v>
      </c>
      <c r="D13" s="18">
        <v>4</v>
      </c>
      <c r="E13" s="21">
        <v>7683830</v>
      </c>
      <c r="F13" s="18" t="str">
        <f>INDEX(companies[company_name], MATCH(dept_expenses[company_id], companies[company_id], 0))</f>
        <v>TCS</v>
      </c>
      <c r="G13" s="18" t="str">
        <f>INDEX(departments[dept_name], MATCH(dept_expenses[dept_id], departments[dept_id], 0))</f>
        <v>Finance</v>
      </c>
      <c r="H13" s="24" t="str">
        <f>dept_expenses[[#This Row],[year]] &amp; "-Q" &amp; dept_expenses[[#This Row],[quarter]]</f>
        <v>2023-Q4</v>
      </c>
    </row>
    <row r="14" spans="1:8" x14ac:dyDescent="0.35">
      <c r="A14" s="20">
        <v>1</v>
      </c>
      <c r="B14" s="18">
        <v>4</v>
      </c>
      <c r="C14" s="18">
        <v>2020</v>
      </c>
      <c r="D14" s="18">
        <v>1</v>
      </c>
      <c r="E14" s="21">
        <v>9011864</v>
      </c>
      <c r="F14" s="18" t="str">
        <f>INDEX(companies[company_name], MATCH(dept_expenses[company_id], companies[company_id], 0))</f>
        <v>TCS</v>
      </c>
      <c r="G14" s="18" t="str">
        <f>INDEX(departments[dept_name], MATCH(dept_expenses[dept_id], departments[dept_id], 0))</f>
        <v>Audit</v>
      </c>
      <c r="H14" s="24" t="str">
        <f>dept_expenses[[#This Row],[year]] &amp; "-Q" &amp; dept_expenses[[#This Row],[quarter]]</f>
        <v>2020-Q1</v>
      </c>
    </row>
    <row r="15" spans="1:8" x14ac:dyDescent="0.35">
      <c r="A15" s="20">
        <v>1</v>
      </c>
      <c r="B15" s="18">
        <v>4</v>
      </c>
      <c r="C15" s="18">
        <v>2022</v>
      </c>
      <c r="D15" s="18">
        <v>3</v>
      </c>
      <c r="E15" s="21">
        <v>2234030</v>
      </c>
      <c r="F15" s="18" t="str">
        <f>INDEX(companies[company_name], MATCH(dept_expenses[company_id], companies[company_id], 0))</f>
        <v>TCS</v>
      </c>
      <c r="G15" s="18" t="str">
        <f>INDEX(departments[dept_name], MATCH(dept_expenses[dept_id], departments[dept_id], 0))</f>
        <v>Audit</v>
      </c>
      <c r="H15" s="24" t="str">
        <f>dept_expenses[[#This Row],[year]] &amp; "-Q" &amp; dept_expenses[[#This Row],[quarter]]</f>
        <v>2022-Q3</v>
      </c>
    </row>
    <row r="16" spans="1:8" x14ac:dyDescent="0.35">
      <c r="A16" s="20">
        <v>1</v>
      </c>
      <c r="B16" s="18">
        <v>4</v>
      </c>
      <c r="C16" s="18">
        <v>2022</v>
      </c>
      <c r="D16" s="18">
        <v>4</v>
      </c>
      <c r="E16" s="21">
        <v>1246026</v>
      </c>
      <c r="F16" s="18" t="str">
        <f>INDEX(companies[company_name], MATCH(dept_expenses[company_id], companies[company_id], 0))</f>
        <v>TCS</v>
      </c>
      <c r="G16" s="18" t="str">
        <f>INDEX(departments[dept_name], MATCH(dept_expenses[dept_id], departments[dept_id], 0))</f>
        <v>Audit</v>
      </c>
      <c r="H16" s="24" t="str">
        <f>dept_expenses[[#This Row],[year]] &amp; "-Q" &amp; dept_expenses[[#This Row],[quarter]]</f>
        <v>2022-Q4</v>
      </c>
    </row>
    <row r="17" spans="1:8" x14ac:dyDescent="0.35">
      <c r="A17" s="20">
        <v>1</v>
      </c>
      <c r="B17" s="18">
        <v>4</v>
      </c>
      <c r="C17" s="18">
        <v>2023</v>
      </c>
      <c r="D17" s="18">
        <v>2</v>
      </c>
      <c r="E17" s="21">
        <v>6406136</v>
      </c>
      <c r="F17" s="18" t="str">
        <f>INDEX(companies[company_name], MATCH(dept_expenses[company_id], companies[company_id], 0))</f>
        <v>TCS</v>
      </c>
      <c r="G17" s="18" t="str">
        <f>INDEX(departments[dept_name], MATCH(dept_expenses[dept_id], departments[dept_id], 0))</f>
        <v>Audit</v>
      </c>
      <c r="H17" s="24" t="str">
        <f>dept_expenses[[#This Row],[year]] &amp; "-Q" &amp; dept_expenses[[#This Row],[quarter]]</f>
        <v>2023-Q2</v>
      </c>
    </row>
    <row r="18" spans="1:8" x14ac:dyDescent="0.35">
      <c r="A18" s="20">
        <v>1</v>
      </c>
      <c r="B18" s="18">
        <v>5</v>
      </c>
      <c r="C18" s="18">
        <v>2020</v>
      </c>
      <c r="D18" s="18">
        <v>1</v>
      </c>
      <c r="E18" s="21">
        <v>5104449</v>
      </c>
      <c r="F18" s="18" t="str">
        <f>INDEX(companies[company_name], MATCH(dept_expenses[company_id], companies[company_id], 0))</f>
        <v>TCS</v>
      </c>
      <c r="G18" s="18" t="str">
        <f>INDEX(departments[dept_name], MATCH(dept_expenses[dept_id], departments[dept_id], 0))</f>
        <v>Tax</v>
      </c>
      <c r="H18" s="24" t="str">
        <f>dept_expenses[[#This Row],[year]] &amp; "-Q" &amp; dept_expenses[[#This Row],[quarter]]</f>
        <v>2020-Q1</v>
      </c>
    </row>
    <row r="19" spans="1:8" x14ac:dyDescent="0.35">
      <c r="A19" s="20">
        <v>1</v>
      </c>
      <c r="B19" s="18">
        <v>5</v>
      </c>
      <c r="C19" s="18">
        <v>2021</v>
      </c>
      <c r="D19" s="18">
        <v>4</v>
      </c>
      <c r="E19" s="21">
        <v>3840013</v>
      </c>
      <c r="F19" s="18" t="str">
        <f>INDEX(companies[company_name], MATCH(dept_expenses[company_id], companies[company_id], 0))</f>
        <v>TCS</v>
      </c>
      <c r="G19" s="18" t="str">
        <f>INDEX(departments[dept_name], MATCH(dept_expenses[dept_id], departments[dept_id], 0))</f>
        <v>Tax</v>
      </c>
      <c r="H19" s="24" t="str">
        <f>dept_expenses[[#This Row],[year]] &amp; "-Q" &amp; dept_expenses[[#This Row],[quarter]]</f>
        <v>2021-Q4</v>
      </c>
    </row>
    <row r="20" spans="1:8" x14ac:dyDescent="0.35">
      <c r="A20" s="20">
        <v>1</v>
      </c>
      <c r="B20" s="18">
        <v>5</v>
      </c>
      <c r="C20" s="18">
        <v>2022</v>
      </c>
      <c r="D20" s="18">
        <v>2</v>
      </c>
      <c r="E20" s="21">
        <v>1158652</v>
      </c>
      <c r="F20" s="18" t="str">
        <f>INDEX(companies[company_name], MATCH(dept_expenses[company_id], companies[company_id], 0))</f>
        <v>TCS</v>
      </c>
      <c r="G20" s="18" t="str">
        <f>INDEX(departments[dept_name], MATCH(dept_expenses[dept_id], departments[dept_id], 0))</f>
        <v>Tax</v>
      </c>
      <c r="H20" s="24" t="str">
        <f>dept_expenses[[#This Row],[year]] &amp; "-Q" &amp; dept_expenses[[#This Row],[quarter]]</f>
        <v>2022-Q2</v>
      </c>
    </row>
    <row r="21" spans="1:8" x14ac:dyDescent="0.35">
      <c r="A21" s="20">
        <v>1</v>
      </c>
      <c r="B21" s="18">
        <v>5</v>
      </c>
      <c r="C21" s="18">
        <v>2023</v>
      </c>
      <c r="D21" s="18">
        <v>3</v>
      </c>
      <c r="E21" s="21">
        <v>6818634</v>
      </c>
      <c r="F21" s="18" t="str">
        <f>INDEX(companies[company_name], MATCH(dept_expenses[company_id], companies[company_id], 0))</f>
        <v>TCS</v>
      </c>
      <c r="G21" s="18" t="str">
        <f>INDEX(departments[dept_name], MATCH(dept_expenses[dept_id], departments[dept_id], 0))</f>
        <v>Tax</v>
      </c>
      <c r="H21" s="24" t="str">
        <f>dept_expenses[[#This Row],[year]] &amp; "-Q" &amp; dept_expenses[[#This Row],[quarter]]</f>
        <v>2023-Q3</v>
      </c>
    </row>
    <row r="22" spans="1:8" x14ac:dyDescent="0.35">
      <c r="A22" s="20">
        <v>2</v>
      </c>
      <c r="B22" s="18">
        <v>1</v>
      </c>
      <c r="C22" s="18">
        <v>2020</v>
      </c>
      <c r="D22" s="18">
        <v>2</v>
      </c>
      <c r="E22" s="21">
        <v>3406251</v>
      </c>
      <c r="F22" s="18" t="str">
        <f>INDEX(companies[company_name], MATCH(dept_expenses[company_id], companies[company_id], 0))</f>
        <v>HDFC Bank</v>
      </c>
      <c r="G22" s="18" t="str">
        <f>INDEX(departments[dept_name], MATCH(dept_expenses[dept_id], departments[dept_id], 0))</f>
        <v>Sales</v>
      </c>
      <c r="H22" s="24" t="str">
        <f>dept_expenses[[#This Row],[year]] &amp; "-Q" &amp; dept_expenses[[#This Row],[quarter]]</f>
        <v>2020-Q2</v>
      </c>
    </row>
    <row r="23" spans="1:8" x14ac:dyDescent="0.35">
      <c r="A23" s="20">
        <v>2</v>
      </c>
      <c r="B23" s="18">
        <v>1</v>
      </c>
      <c r="C23" s="18">
        <v>2022</v>
      </c>
      <c r="D23" s="18">
        <v>1</v>
      </c>
      <c r="E23" s="21">
        <v>8270892</v>
      </c>
      <c r="F23" s="18" t="str">
        <f>INDEX(companies[company_name], MATCH(dept_expenses[company_id], companies[company_id], 0))</f>
        <v>HDFC Bank</v>
      </c>
      <c r="G23" s="18" t="str">
        <f>INDEX(departments[dept_name], MATCH(dept_expenses[dept_id], departments[dept_id], 0))</f>
        <v>Sales</v>
      </c>
      <c r="H23" s="24" t="str">
        <f>dept_expenses[[#This Row],[year]] &amp; "-Q" &amp; dept_expenses[[#This Row],[quarter]]</f>
        <v>2022-Q1</v>
      </c>
    </row>
    <row r="24" spans="1:8" x14ac:dyDescent="0.35">
      <c r="A24" s="20">
        <v>2</v>
      </c>
      <c r="B24" s="18">
        <v>1</v>
      </c>
      <c r="C24" s="18">
        <v>2022</v>
      </c>
      <c r="D24" s="18">
        <v>3</v>
      </c>
      <c r="E24" s="21">
        <v>2404645</v>
      </c>
      <c r="F24" s="18" t="str">
        <f>INDEX(companies[company_name], MATCH(dept_expenses[company_id], companies[company_id], 0))</f>
        <v>HDFC Bank</v>
      </c>
      <c r="G24" s="18" t="str">
        <f>INDEX(departments[dept_name], MATCH(dept_expenses[dept_id], departments[dept_id], 0))</f>
        <v>Sales</v>
      </c>
      <c r="H24" s="24" t="str">
        <f>dept_expenses[[#This Row],[year]] &amp; "-Q" &amp; dept_expenses[[#This Row],[quarter]]</f>
        <v>2022-Q3</v>
      </c>
    </row>
    <row r="25" spans="1:8" x14ac:dyDescent="0.35">
      <c r="A25" s="20">
        <v>2</v>
      </c>
      <c r="B25" s="18">
        <v>1</v>
      </c>
      <c r="C25" s="18">
        <v>2022</v>
      </c>
      <c r="D25" s="18">
        <v>4</v>
      </c>
      <c r="E25" s="21">
        <v>6909924</v>
      </c>
      <c r="F25" s="18" t="str">
        <f>INDEX(companies[company_name], MATCH(dept_expenses[company_id], companies[company_id], 0))</f>
        <v>HDFC Bank</v>
      </c>
      <c r="G25" s="18" t="str">
        <f>INDEX(departments[dept_name], MATCH(dept_expenses[dept_id], departments[dept_id], 0))</f>
        <v>Sales</v>
      </c>
      <c r="H25" s="24" t="str">
        <f>dept_expenses[[#This Row],[year]] &amp; "-Q" &amp; dept_expenses[[#This Row],[quarter]]</f>
        <v>2022-Q4</v>
      </c>
    </row>
    <row r="26" spans="1:8" x14ac:dyDescent="0.35">
      <c r="A26" s="20">
        <v>2</v>
      </c>
      <c r="B26" s="18">
        <v>2</v>
      </c>
      <c r="C26" s="18">
        <v>2021</v>
      </c>
      <c r="D26" s="18">
        <v>1</v>
      </c>
      <c r="E26" s="21">
        <v>1418524</v>
      </c>
      <c r="F26" s="18" t="str">
        <f>INDEX(companies[company_name], MATCH(dept_expenses[company_id], companies[company_id], 0))</f>
        <v>HDFC Bank</v>
      </c>
      <c r="G26" s="18" t="str">
        <f>INDEX(departments[dept_name], MATCH(dept_expenses[dept_id], departments[dept_id], 0))</f>
        <v>HR</v>
      </c>
      <c r="H26" s="24" t="str">
        <f>dept_expenses[[#This Row],[year]] &amp; "-Q" &amp; dept_expenses[[#This Row],[quarter]]</f>
        <v>2021-Q1</v>
      </c>
    </row>
    <row r="27" spans="1:8" x14ac:dyDescent="0.35">
      <c r="A27" s="20">
        <v>2</v>
      </c>
      <c r="B27" s="18">
        <v>2</v>
      </c>
      <c r="C27" s="18">
        <v>2021</v>
      </c>
      <c r="D27" s="18">
        <v>2</v>
      </c>
      <c r="E27" s="21">
        <v>6286049</v>
      </c>
      <c r="F27" s="18" t="str">
        <f>INDEX(companies[company_name], MATCH(dept_expenses[company_id], companies[company_id], 0))</f>
        <v>HDFC Bank</v>
      </c>
      <c r="G27" s="18" t="str">
        <f>INDEX(departments[dept_name], MATCH(dept_expenses[dept_id], departments[dept_id], 0))</f>
        <v>HR</v>
      </c>
      <c r="H27" s="24" t="str">
        <f>dept_expenses[[#This Row],[year]] &amp; "-Q" &amp; dept_expenses[[#This Row],[quarter]]</f>
        <v>2021-Q2</v>
      </c>
    </row>
    <row r="28" spans="1:8" x14ac:dyDescent="0.35">
      <c r="A28" s="20">
        <v>2</v>
      </c>
      <c r="B28" s="18">
        <v>2</v>
      </c>
      <c r="C28" s="18">
        <v>2021</v>
      </c>
      <c r="D28" s="18">
        <v>3</v>
      </c>
      <c r="E28" s="21">
        <v>1683791</v>
      </c>
      <c r="F28" s="18" t="str">
        <f>INDEX(companies[company_name], MATCH(dept_expenses[company_id], companies[company_id], 0))</f>
        <v>HDFC Bank</v>
      </c>
      <c r="G28" s="18" t="str">
        <f>INDEX(departments[dept_name], MATCH(dept_expenses[dept_id], departments[dept_id], 0))</f>
        <v>HR</v>
      </c>
      <c r="H28" s="24" t="str">
        <f>dept_expenses[[#This Row],[year]] &amp; "-Q" &amp; dept_expenses[[#This Row],[quarter]]</f>
        <v>2021-Q3</v>
      </c>
    </row>
    <row r="29" spans="1:8" x14ac:dyDescent="0.35">
      <c r="A29" s="20">
        <v>2</v>
      </c>
      <c r="B29" s="18">
        <v>2</v>
      </c>
      <c r="C29" s="18">
        <v>2022</v>
      </c>
      <c r="D29" s="18">
        <v>4</v>
      </c>
      <c r="E29" s="21">
        <v>7649923</v>
      </c>
      <c r="F29" s="18" t="str">
        <f>INDEX(companies[company_name], MATCH(dept_expenses[company_id], companies[company_id], 0))</f>
        <v>HDFC Bank</v>
      </c>
      <c r="G29" s="18" t="str">
        <f>INDEX(departments[dept_name], MATCH(dept_expenses[dept_id], departments[dept_id], 0))</f>
        <v>HR</v>
      </c>
      <c r="H29" s="24" t="str">
        <f>dept_expenses[[#This Row],[year]] &amp; "-Q" &amp; dept_expenses[[#This Row],[quarter]]</f>
        <v>2022-Q4</v>
      </c>
    </row>
    <row r="30" spans="1:8" x14ac:dyDescent="0.35">
      <c r="A30" s="20">
        <v>2</v>
      </c>
      <c r="B30" s="18">
        <v>3</v>
      </c>
      <c r="C30" s="18">
        <v>2020</v>
      </c>
      <c r="D30" s="18">
        <v>2</v>
      </c>
      <c r="E30" s="21">
        <v>9433397</v>
      </c>
      <c r="F30" s="18" t="str">
        <f>INDEX(companies[company_name], MATCH(dept_expenses[company_id], companies[company_id], 0))</f>
        <v>HDFC Bank</v>
      </c>
      <c r="G30" s="18" t="str">
        <f>INDEX(departments[dept_name], MATCH(dept_expenses[dept_id], departments[dept_id], 0))</f>
        <v>Finance</v>
      </c>
      <c r="H30" s="24" t="str">
        <f>dept_expenses[[#This Row],[year]] &amp; "-Q" &amp; dept_expenses[[#This Row],[quarter]]</f>
        <v>2020-Q2</v>
      </c>
    </row>
    <row r="31" spans="1:8" x14ac:dyDescent="0.35">
      <c r="A31" s="20">
        <v>2</v>
      </c>
      <c r="B31" s="18">
        <v>3</v>
      </c>
      <c r="C31" s="18">
        <v>2023</v>
      </c>
      <c r="D31" s="18">
        <v>1</v>
      </c>
      <c r="E31" s="21">
        <v>3680337</v>
      </c>
      <c r="F31" s="18" t="str">
        <f>INDEX(companies[company_name], MATCH(dept_expenses[company_id], companies[company_id], 0))</f>
        <v>HDFC Bank</v>
      </c>
      <c r="G31" s="18" t="str">
        <f>INDEX(departments[dept_name], MATCH(dept_expenses[dept_id], departments[dept_id], 0))</f>
        <v>Finance</v>
      </c>
      <c r="H31" s="24" t="str">
        <f>dept_expenses[[#This Row],[year]] &amp; "-Q" &amp; dept_expenses[[#This Row],[quarter]]</f>
        <v>2023-Q1</v>
      </c>
    </row>
    <row r="32" spans="1:8" x14ac:dyDescent="0.35">
      <c r="A32" s="20">
        <v>2</v>
      </c>
      <c r="B32" s="18">
        <v>3</v>
      </c>
      <c r="C32" s="18">
        <v>2023</v>
      </c>
      <c r="D32" s="18">
        <v>3</v>
      </c>
      <c r="E32" s="21">
        <v>4327711</v>
      </c>
      <c r="F32" s="18" t="str">
        <f>INDEX(companies[company_name], MATCH(dept_expenses[company_id], companies[company_id], 0))</f>
        <v>HDFC Bank</v>
      </c>
      <c r="G32" s="18" t="str">
        <f>INDEX(departments[dept_name], MATCH(dept_expenses[dept_id], departments[dept_id], 0))</f>
        <v>Finance</v>
      </c>
      <c r="H32" s="24" t="str">
        <f>dept_expenses[[#This Row],[year]] &amp; "-Q" &amp; dept_expenses[[#This Row],[quarter]]</f>
        <v>2023-Q3</v>
      </c>
    </row>
    <row r="33" spans="1:8" x14ac:dyDescent="0.35">
      <c r="A33" s="20">
        <v>2</v>
      </c>
      <c r="B33" s="18">
        <v>3</v>
      </c>
      <c r="C33" s="18">
        <v>2023</v>
      </c>
      <c r="D33" s="18">
        <v>4</v>
      </c>
      <c r="E33" s="21">
        <v>2722453</v>
      </c>
      <c r="F33" s="18" t="str">
        <f>INDEX(companies[company_name], MATCH(dept_expenses[company_id], companies[company_id], 0))</f>
        <v>HDFC Bank</v>
      </c>
      <c r="G33" s="18" t="str">
        <f>INDEX(departments[dept_name], MATCH(dept_expenses[dept_id], departments[dept_id], 0))</f>
        <v>Finance</v>
      </c>
      <c r="H33" s="24" t="str">
        <f>dept_expenses[[#This Row],[year]] &amp; "-Q" &amp; dept_expenses[[#This Row],[quarter]]</f>
        <v>2023-Q4</v>
      </c>
    </row>
    <row r="34" spans="1:8" x14ac:dyDescent="0.35">
      <c r="A34" s="20">
        <v>2</v>
      </c>
      <c r="B34" s="18">
        <v>4</v>
      </c>
      <c r="C34" s="18">
        <v>2020</v>
      </c>
      <c r="D34" s="18">
        <v>2</v>
      </c>
      <c r="E34" s="21">
        <v>2449777</v>
      </c>
      <c r="F34" s="18" t="str">
        <f>INDEX(companies[company_name], MATCH(dept_expenses[company_id], companies[company_id], 0))</f>
        <v>HDFC Bank</v>
      </c>
      <c r="G34" s="18" t="str">
        <f>INDEX(departments[dept_name], MATCH(dept_expenses[dept_id], departments[dept_id], 0))</f>
        <v>Audit</v>
      </c>
      <c r="H34" s="24" t="str">
        <f>dept_expenses[[#This Row],[year]] &amp; "-Q" &amp; dept_expenses[[#This Row],[quarter]]</f>
        <v>2020-Q2</v>
      </c>
    </row>
    <row r="35" spans="1:8" x14ac:dyDescent="0.35">
      <c r="A35" s="20">
        <v>2</v>
      </c>
      <c r="B35" s="18">
        <v>4</v>
      </c>
      <c r="C35" s="18">
        <v>2020</v>
      </c>
      <c r="D35" s="18">
        <v>4</v>
      </c>
      <c r="E35" s="21">
        <v>1666515</v>
      </c>
      <c r="F35" s="18" t="str">
        <f>INDEX(companies[company_name], MATCH(dept_expenses[company_id], companies[company_id], 0))</f>
        <v>HDFC Bank</v>
      </c>
      <c r="G35" s="18" t="str">
        <f>INDEX(departments[dept_name], MATCH(dept_expenses[dept_id], departments[dept_id], 0))</f>
        <v>Audit</v>
      </c>
      <c r="H35" s="24" t="str">
        <f>dept_expenses[[#This Row],[year]] &amp; "-Q" &amp; dept_expenses[[#This Row],[quarter]]</f>
        <v>2020-Q4</v>
      </c>
    </row>
    <row r="36" spans="1:8" x14ac:dyDescent="0.35">
      <c r="A36" s="20">
        <v>2</v>
      </c>
      <c r="B36" s="18">
        <v>4</v>
      </c>
      <c r="C36" s="18">
        <v>2022</v>
      </c>
      <c r="D36" s="18">
        <v>3</v>
      </c>
      <c r="E36" s="21">
        <v>6340060</v>
      </c>
      <c r="F36" s="18" t="str">
        <f>INDEX(companies[company_name], MATCH(dept_expenses[company_id], companies[company_id], 0))</f>
        <v>HDFC Bank</v>
      </c>
      <c r="G36" s="18" t="str">
        <f>INDEX(departments[dept_name], MATCH(dept_expenses[dept_id], departments[dept_id], 0))</f>
        <v>Audit</v>
      </c>
      <c r="H36" s="24" t="str">
        <f>dept_expenses[[#This Row],[year]] &amp; "-Q" &amp; dept_expenses[[#This Row],[quarter]]</f>
        <v>2022-Q3</v>
      </c>
    </row>
    <row r="37" spans="1:8" x14ac:dyDescent="0.35">
      <c r="A37" s="20">
        <v>2</v>
      </c>
      <c r="B37" s="18">
        <v>4</v>
      </c>
      <c r="C37" s="18">
        <v>2023</v>
      </c>
      <c r="D37" s="18">
        <v>1</v>
      </c>
      <c r="E37" s="21">
        <v>3555308</v>
      </c>
      <c r="F37" s="18" t="str">
        <f>INDEX(companies[company_name], MATCH(dept_expenses[company_id], companies[company_id], 0))</f>
        <v>HDFC Bank</v>
      </c>
      <c r="G37" s="18" t="str">
        <f>INDEX(departments[dept_name], MATCH(dept_expenses[dept_id], departments[dept_id], 0))</f>
        <v>Audit</v>
      </c>
      <c r="H37" s="24" t="str">
        <f>dept_expenses[[#This Row],[year]] &amp; "-Q" &amp; dept_expenses[[#This Row],[quarter]]</f>
        <v>2023-Q1</v>
      </c>
    </row>
    <row r="38" spans="1:8" x14ac:dyDescent="0.35">
      <c r="A38" s="20">
        <v>2</v>
      </c>
      <c r="B38" s="18">
        <v>5</v>
      </c>
      <c r="C38" s="18">
        <v>2020</v>
      </c>
      <c r="D38" s="18">
        <v>1</v>
      </c>
      <c r="E38" s="21">
        <v>2259874</v>
      </c>
      <c r="F38" s="18" t="str">
        <f>INDEX(companies[company_name], MATCH(dept_expenses[company_id], companies[company_id], 0))</f>
        <v>HDFC Bank</v>
      </c>
      <c r="G38" s="18" t="str">
        <f>INDEX(departments[dept_name], MATCH(dept_expenses[dept_id], departments[dept_id], 0))</f>
        <v>Tax</v>
      </c>
      <c r="H38" s="24" t="str">
        <f>dept_expenses[[#This Row],[year]] &amp; "-Q" &amp; dept_expenses[[#This Row],[quarter]]</f>
        <v>2020-Q1</v>
      </c>
    </row>
    <row r="39" spans="1:8" x14ac:dyDescent="0.35">
      <c r="A39" s="20">
        <v>2</v>
      </c>
      <c r="B39" s="18">
        <v>5</v>
      </c>
      <c r="C39" s="18">
        <v>2020</v>
      </c>
      <c r="D39" s="18">
        <v>4</v>
      </c>
      <c r="E39" s="21">
        <v>4791843</v>
      </c>
      <c r="F39" s="18" t="str">
        <f>INDEX(companies[company_name], MATCH(dept_expenses[company_id], companies[company_id], 0))</f>
        <v>HDFC Bank</v>
      </c>
      <c r="G39" s="18" t="str">
        <f>INDEX(departments[dept_name], MATCH(dept_expenses[dept_id], departments[dept_id], 0))</f>
        <v>Tax</v>
      </c>
      <c r="H39" s="24" t="str">
        <f>dept_expenses[[#This Row],[year]] &amp; "-Q" &amp; dept_expenses[[#This Row],[quarter]]</f>
        <v>2020-Q4</v>
      </c>
    </row>
    <row r="40" spans="1:8" x14ac:dyDescent="0.35">
      <c r="A40" s="20">
        <v>2</v>
      </c>
      <c r="B40" s="18">
        <v>5</v>
      </c>
      <c r="C40" s="18">
        <v>2022</v>
      </c>
      <c r="D40" s="18">
        <v>2</v>
      </c>
      <c r="E40" s="21">
        <v>3410037</v>
      </c>
      <c r="F40" s="18" t="str">
        <f>INDEX(companies[company_name], MATCH(dept_expenses[company_id], companies[company_id], 0))</f>
        <v>HDFC Bank</v>
      </c>
      <c r="G40" s="18" t="str">
        <f>INDEX(departments[dept_name], MATCH(dept_expenses[dept_id], departments[dept_id], 0))</f>
        <v>Tax</v>
      </c>
      <c r="H40" s="24" t="str">
        <f>dept_expenses[[#This Row],[year]] &amp; "-Q" &amp; dept_expenses[[#This Row],[quarter]]</f>
        <v>2022-Q2</v>
      </c>
    </row>
    <row r="41" spans="1:8" x14ac:dyDescent="0.35">
      <c r="A41" s="20">
        <v>2</v>
      </c>
      <c r="B41" s="18">
        <v>5</v>
      </c>
      <c r="C41" s="18">
        <v>2023</v>
      </c>
      <c r="D41" s="18">
        <v>3</v>
      </c>
      <c r="E41" s="21">
        <v>3311198</v>
      </c>
      <c r="F41" s="18" t="str">
        <f>INDEX(companies[company_name], MATCH(dept_expenses[company_id], companies[company_id], 0))</f>
        <v>HDFC Bank</v>
      </c>
      <c r="G41" s="18" t="str">
        <f>INDEX(departments[dept_name], MATCH(dept_expenses[dept_id], departments[dept_id], 0))</f>
        <v>Tax</v>
      </c>
      <c r="H41" s="24" t="str">
        <f>dept_expenses[[#This Row],[year]] &amp; "-Q" &amp; dept_expenses[[#This Row],[quarter]]</f>
        <v>2023-Q3</v>
      </c>
    </row>
    <row r="42" spans="1:8" x14ac:dyDescent="0.35">
      <c r="A42" s="20">
        <v>3</v>
      </c>
      <c r="B42" s="18">
        <v>1</v>
      </c>
      <c r="C42" s="18">
        <v>2021</v>
      </c>
      <c r="D42" s="18">
        <v>1</v>
      </c>
      <c r="E42" s="21">
        <v>6636637</v>
      </c>
      <c r="F42" s="18" t="str">
        <f>INDEX(companies[company_name], MATCH(dept_expenses[company_id], companies[company_id], 0))</f>
        <v>ITC</v>
      </c>
      <c r="G42" s="18" t="str">
        <f>INDEX(departments[dept_name], MATCH(dept_expenses[dept_id], departments[dept_id], 0))</f>
        <v>Sales</v>
      </c>
      <c r="H42" s="24" t="str">
        <f>dept_expenses[[#This Row],[year]] &amp; "-Q" &amp; dept_expenses[[#This Row],[quarter]]</f>
        <v>2021-Q1</v>
      </c>
    </row>
    <row r="43" spans="1:8" x14ac:dyDescent="0.35">
      <c r="A43" s="20">
        <v>3</v>
      </c>
      <c r="B43" s="18">
        <v>1</v>
      </c>
      <c r="C43" s="18">
        <v>2021</v>
      </c>
      <c r="D43" s="18">
        <v>3</v>
      </c>
      <c r="E43" s="21">
        <v>4016824</v>
      </c>
      <c r="F43" s="18" t="str">
        <f>INDEX(companies[company_name], MATCH(dept_expenses[company_id], companies[company_id], 0))</f>
        <v>ITC</v>
      </c>
      <c r="G43" s="18" t="str">
        <f>INDEX(departments[dept_name], MATCH(dept_expenses[dept_id], departments[dept_id], 0))</f>
        <v>Sales</v>
      </c>
      <c r="H43" s="24" t="str">
        <f>dept_expenses[[#This Row],[year]] &amp; "-Q" &amp; dept_expenses[[#This Row],[quarter]]</f>
        <v>2021-Q3</v>
      </c>
    </row>
    <row r="44" spans="1:8" x14ac:dyDescent="0.35">
      <c r="A44" s="20">
        <v>3</v>
      </c>
      <c r="B44" s="18">
        <v>1</v>
      </c>
      <c r="C44" s="18">
        <v>2022</v>
      </c>
      <c r="D44" s="18">
        <v>2</v>
      </c>
      <c r="E44" s="21">
        <v>5306049</v>
      </c>
      <c r="F44" s="18" t="str">
        <f>INDEX(companies[company_name], MATCH(dept_expenses[company_id], companies[company_id], 0))</f>
        <v>ITC</v>
      </c>
      <c r="G44" s="18" t="str">
        <f>INDEX(departments[dept_name], MATCH(dept_expenses[dept_id], departments[dept_id], 0))</f>
        <v>Sales</v>
      </c>
      <c r="H44" s="24" t="str">
        <f>dept_expenses[[#This Row],[year]] &amp; "-Q" &amp; dept_expenses[[#This Row],[quarter]]</f>
        <v>2022-Q2</v>
      </c>
    </row>
    <row r="45" spans="1:8" x14ac:dyDescent="0.35">
      <c r="A45" s="20">
        <v>3</v>
      </c>
      <c r="B45" s="18">
        <v>1</v>
      </c>
      <c r="C45" s="18">
        <v>2023</v>
      </c>
      <c r="D45" s="18">
        <v>4</v>
      </c>
      <c r="E45" s="21">
        <v>6214042</v>
      </c>
      <c r="F45" s="18" t="str">
        <f>INDEX(companies[company_name], MATCH(dept_expenses[company_id], companies[company_id], 0))</f>
        <v>ITC</v>
      </c>
      <c r="G45" s="18" t="str">
        <f>INDEX(departments[dept_name], MATCH(dept_expenses[dept_id], departments[dept_id], 0))</f>
        <v>Sales</v>
      </c>
      <c r="H45" s="24" t="str">
        <f>dept_expenses[[#This Row],[year]] &amp; "-Q" &amp; dept_expenses[[#This Row],[quarter]]</f>
        <v>2023-Q4</v>
      </c>
    </row>
    <row r="46" spans="1:8" x14ac:dyDescent="0.35">
      <c r="A46" s="20">
        <v>3</v>
      </c>
      <c r="B46" s="18">
        <v>2</v>
      </c>
      <c r="C46" s="18">
        <v>2020</v>
      </c>
      <c r="D46" s="18">
        <v>4</v>
      </c>
      <c r="E46" s="21">
        <v>2465833</v>
      </c>
      <c r="F46" s="18" t="str">
        <f>INDEX(companies[company_name], MATCH(dept_expenses[company_id], companies[company_id], 0))</f>
        <v>ITC</v>
      </c>
      <c r="G46" s="18" t="str">
        <f>INDEX(departments[dept_name], MATCH(dept_expenses[dept_id], departments[dept_id], 0))</f>
        <v>HR</v>
      </c>
      <c r="H46" s="24" t="str">
        <f>dept_expenses[[#This Row],[year]] &amp; "-Q" &amp; dept_expenses[[#This Row],[quarter]]</f>
        <v>2020-Q4</v>
      </c>
    </row>
    <row r="47" spans="1:8" x14ac:dyDescent="0.35">
      <c r="A47" s="20">
        <v>3</v>
      </c>
      <c r="B47" s="18">
        <v>2</v>
      </c>
      <c r="C47" s="18">
        <v>2021</v>
      </c>
      <c r="D47" s="18">
        <v>3</v>
      </c>
      <c r="E47" s="21">
        <v>8020954</v>
      </c>
      <c r="F47" s="18" t="str">
        <f>INDEX(companies[company_name], MATCH(dept_expenses[company_id], companies[company_id], 0))</f>
        <v>ITC</v>
      </c>
      <c r="G47" s="18" t="str">
        <f>INDEX(departments[dept_name], MATCH(dept_expenses[dept_id], departments[dept_id], 0))</f>
        <v>HR</v>
      </c>
      <c r="H47" s="24" t="str">
        <f>dept_expenses[[#This Row],[year]] &amp; "-Q" &amp; dept_expenses[[#This Row],[quarter]]</f>
        <v>2021-Q3</v>
      </c>
    </row>
    <row r="48" spans="1:8" x14ac:dyDescent="0.35">
      <c r="A48" s="20">
        <v>3</v>
      </c>
      <c r="B48" s="18">
        <v>2</v>
      </c>
      <c r="C48" s="18">
        <v>2023</v>
      </c>
      <c r="D48" s="18">
        <v>1</v>
      </c>
      <c r="E48" s="21">
        <v>4244417</v>
      </c>
      <c r="F48" s="18" t="str">
        <f>INDEX(companies[company_name], MATCH(dept_expenses[company_id], companies[company_id], 0))</f>
        <v>ITC</v>
      </c>
      <c r="G48" s="18" t="str">
        <f>INDEX(departments[dept_name], MATCH(dept_expenses[dept_id], departments[dept_id], 0))</f>
        <v>HR</v>
      </c>
      <c r="H48" s="24" t="str">
        <f>dept_expenses[[#This Row],[year]] &amp; "-Q" &amp; dept_expenses[[#This Row],[quarter]]</f>
        <v>2023-Q1</v>
      </c>
    </row>
    <row r="49" spans="1:8" x14ac:dyDescent="0.35">
      <c r="A49" s="20">
        <v>3</v>
      </c>
      <c r="B49" s="18">
        <v>2</v>
      </c>
      <c r="C49" s="18">
        <v>2023</v>
      </c>
      <c r="D49" s="18">
        <v>2</v>
      </c>
      <c r="E49" s="21">
        <v>8387404</v>
      </c>
      <c r="F49" s="18" t="str">
        <f>INDEX(companies[company_name], MATCH(dept_expenses[company_id], companies[company_id], 0))</f>
        <v>ITC</v>
      </c>
      <c r="G49" s="18" t="str">
        <f>INDEX(departments[dept_name], MATCH(dept_expenses[dept_id], departments[dept_id], 0))</f>
        <v>HR</v>
      </c>
      <c r="H49" s="24" t="str">
        <f>dept_expenses[[#This Row],[year]] &amp; "-Q" &amp; dept_expenses[[#This Row],[quarter]]</f>
        <v>2023-Q2</v>
      </c>
    </row>
    <row r="50" spans="1:8" x14ac:dyDescent="0.35">
      <c r="A50" s="20">
        <v>3</v>
      </c>
      <c r="B50" s="18">
        <v>3</v>
      </c>
      <c r="C50" s="18">
        <v>2020</v>
      </c>
      <c r="D50" s="18">
        <v>3</v>
      </c>
      <c r="E50" s="21">
        <v>4682350</v>
      </c>
      <c r="F50" s="18" t="str">
        <f>INDEX(companies[company_name], MATCH(dept_expenses[company_id], companies[company_id], 0))</f>
        <v>ITC</v>
      </c>
      <c r="G50" s="18" t="str">
        <f>INDEX(departments[dept_name], MATCH(dept_expenses[dept_id], departments[dept_id], 0))</f>
        <v>Finance</v>
      </c>
      <c r="H50" s="24" t="str">
        <f>dept_expenses[[#This Row],[year]] &amp; "-Q" &amp; dept_expenses[[#This Row],[quarter]]</f>
        <v>2020-Q3</v>
      </c>
    </row>
    <row r="51" spans="1:8" x14ac:dyDescent="0.35">
      <c r="A51" s="20">
        <v>3</v>
      </c>
      <c r="B51" s="18">
        <v>3</v>
      </c>
      <c r="C51" s="18">
        <v>2021</v>
      </c>
      <c r="D51" s="18">
        <v>2</v>
      </c>
      <c r="E51" s="21">
        <v>4916508</v>
      </c>
      <c r="F51" s="18" t="str">
        <f>INDEX(companies[company_name], MATCH(dept_expenses[company_id], companies[company_id], 0))</f>
        <v>ITC</v>
      </c>
      <c r="G51" s="18" t="str">
        <f>INDEX(departments[dept_name], MATCH(dept_expenses[dept_id], departments[dept_id], 0))</f>
        <v>Finance</v>
      </c>
      <c r="H51" s="24" t="str">
        <f>dept_expenses[[#This Row],[year]] &amp; "-Q" &amp; dept_expenses[[#This Row],[quarter]]</f>
        <v>2021-Q2</v>
      </c>
    </row>
    <row r="52" spans="1:8" x14ac:dyDescent="0.35">
      <c r="A52" s="20">
        <v>3</v>
      </c>
      <c r="B52" s="18">
        <v>3</v>
      </c>
      <c r="C52" s="18">
        <v>2022</v>
      </c>
      <c r="D52" s="18">
        <v>4</v>
      </c>
      <c r="E52" s="21">
        <v>5826044</v>
      </c>
      <c r="F52" s="18" t="str">
        <f>INDEX(companies[company_name], MATCH(dept_expenses[company_id], companies[company_id], 0))</f>
        <v>ITC</v>
      </c>
      <c r="G52" s="18" t="str">
        <f>INDEX(departments[dept_name], MATCH(dept_expenses[dept_id], departments[dept_id], 0))</f>
        <v>Finance</v>
      </c>
      <c r="H52" s="24" t="str">
        <f>dept_expenses[[#This Row],[year]] &amp; "-Q" &amp; dept_expenses[[#This Row],[quarter]]</f>
        <v>2022-Q4</v>
      </c>
    </row>
    <row r="53" spans="1:8" x14ac:dyDescent="0.35">
      <c r="A53" s="20">
        <v>3</v>
      </c>
      <c r="B53" s="18">
        <v>3</v>
      </c>
      <c r="C53" s="18">
        <v>2023</v>
      </c>
      <c r="D53" s="18">
        <v>1</v>
      </c>
      <c r="E53" s="21">
        <v>5949459</v>
      </c>
      <c r="F53" s="18" t="str">
        <f>INDEX(companies[company_name], MATCH(dept_expenses[company_id], companies[company_id], 0))</f>
        <v>ITC</v>
      </c>
      <c r="G53" s="18" t="str">
        <f>INDEX(departments[dept_name], MATCH(dept_expenses[dept_id], departments[dept_id], 0))</f>
        <v>Finance</v>
      </c>
      <c r="H53" s="24" t="str">
        <f>dept_expenses[[#This Row],[year]] &amp; "-Q" &amp; dept_expenses[[#This Row],[quarter]]</f>
        <v>2023-Q1</v>
      </c>
    </row>
    <row r="54" spans="1:8" x14ac:dyDescent="0.35">
      <c r="A54" s="20">
        <v>3</v>
      </c>
      <c r="B54" s="18">
        <v>4</v>
      </c>
      <c r="C54" s="18">
        <v>2020</v>
      </c>
      <c r="D54" s="18">
        <v>2</v>
      </c>
      <c r="E54" s="21">
        <v>4881594</v>
      </c>
      <c r="F54" s="18" t="str">
        <f>INDEX(companies[company_name], MATCH(dept_expenses[company_id], companies[company_id], 0))</f>
        <v>ITC</v>
      </c>
      <c r="G54" s="18" t="str">
        <f>INDEX(departments[dept_name], MATCH(dept_expenses[dept_id], departments[dept_id], 0))</f>
        <v>Audit</v>
      </c>
      <c r="H54" s="24" t="str">
        <f>dept_expenses[[#This Row],[year]] &amp; "-Q" &amp; dept_expenses[[#This Row],[quarter]]</f>
        <v>2020-Q2</v>
      </c>
    </row>
    <row r="55" spans="1:8" x14ac:dyDescent="0.35">
      <c r="A55" s="20">
        <v>3</v>
      </c>
      <c r="B55" s="18">
        <v>4</v>
      </c>
      <c r="C55" s="18">
        <v>2021</v>
      </c>
      <c r="D55" s="18">
        <v>1</v>
      </c>
      <c r="E55" s="21">
        <v>3727549</v>
      </c>
      <c r="F55" s="18" t="str">
        <f>INDEX(companies[company_name], MATCH(dept_expenses[company_id], companies[company_id], 0))</f>
        <v>ITC</v>
      </c>
      <c r="G55" s="18" t="str">
        <f>INDEX(departments[dept_name], MATCH(dept_expenses[dept_id], departments[dept_id], 0))</f>
        <v>Audit</v>
      </c>
      <c r="H55" s="24" t="str">
        <f>dept_expenses[[#This Row],[year]] &amp; "-Q" &amp; dept_expenses[[#This Row],[quarter]]</f>
        <v>2021-Q1</v>
      </c>
    </row>
    <row r="56" spans="1:8" x14ac:dyDescent="0.35">
      <c r="A56" s="20">
        <v>3</v>
      </c>
      <c r="B56" s="18">
        <v>4</v>
      </c>
      <c r="C56" s="18">
        <v>2021</v>
      </c>
      <c r="D56" s="18">
        <v>4</v>
      </c>
      <c r="E56" s="21">
        <v>5356999</v>
      </c>
      <c r="F56" s="18" t="str">
        <f>INDEX(companies[company_name], MATCH(dept_expenses[company_id], companies[company_id], 0))</f>
        <v>ITC</v>
      </c>
      <c r="G56" s="18" t="str">
        <f>INDEX(departments[dept_name], MATCH(dept_expenses[dept_id], departments[dept_id], 0))</f>
        <v>Audit</v>
      </c>
      <c r="H56" s="24" t="str">
        <f>dept_expenses[[#This Row],[year]] &amp; "-Q" &amp; dept_expenses[[#This Row],[quarter]]</f>
        <v>2021-Q4</v>
      </c>
    </row>
    <row r="57" spans="1:8" x14ac:dyDescent="0.35">
      <c r="A57" s="20">
        <v>3</v>
      </c>
      <c r="B57" s="18">
        <v>4</v>
      </c>
      <c r="C57" s="18">
        <v>2023</v>
      </c>
      <c r="D57" s="18">
        <v>3</v>
      </c>
      <c r="E57" s="21">
        <v>3594280</v>
      </c>
      <c r="F57" s="18" t="str">
        <f>INDEX(companies[company_name], MATCH(dept_expenses[company_id], companies[company_id], 0))</f>
        <v>ITC</v>
      </c>
      <c r="G57" s="18" t="str">
        <f>INDEX(departments[dept_name], MATCH(dept_expenses[dept_id], departments[dept_id], 0))</f>
        <v>Audit</v>
      </c>
      <c r="H57" s="24" t="str">
        <f>dept_expenses[[#This Row],[year]] &amp; "-Q" &amp; dept_expenses[[#This Row],[quarter]]</f>
        <v>2023-Q3</v>
      </c>
    </row>
    <row r="58" spans="1:8" x14ac:dyDescent="0.35">
      <c r="A58" s="20">
        <v>3</v>
      </c>
      <c r="B58" s="18">
        <v>5</v>
      </c>
      <c r="C58" s="18">
        <v>2022</v>
      </c>
      <c r="D58" s="18">
        <v>3</v>
      </c>
      <c r="E58" s="21">
        <v>8317777</v>
      </c>
      <c r="F58" s="18" t="str">
        <f>INDEX(companies[company_name], MATCH(dept_expenses[company_id], companies[company_id], 0))</f>
        <v>ITC</v>
      </c>
      <c r="G58" s="18" t="str">
        <f>INDEX(departments[dept_name], MATCH(dept_expenses[dept_id], departments[dept_id], 0))</f>
        <v>Tax</v>
      </c>
      <c r="H58" s="24" t="str">
        <f>dept_expenses[[#This Row],[year]] &amp; "-Q" &amp; dept_expenses[[#This Row],[quarter]]</f>
        <v>2022-Q3</v>
      </c>
    </row>
    <row r="59" spans="1:8" x14ac:dyDescent="0.35">
      <c r="A59" s="20">
        <v>3</v>
      </c>
      <c r="B59" s="18">
        <v>5</v>
      </c>
      <c r="C59" s="18">
        <v>2023</v>
      </c>
      <c r="D59" s="18">
        <v>1</v>
      </c>
      <c r="E59" s="21">
        <v>3737909</v>
      </c>
      <c r="F59" s="18" t="str">
        <f>INDEX(companies[company_name], MATCH(dept_expenses[company_id], companies[company_id], 0))</f>
        <v>ITC</v>
      </c>
      <c r="G59" s="18" t="str">
        <f>INDEX(departments[dept_name], MATCH(dept_expenses[dept_id], departments[dept_id], 0))</f>
        <v>Tax</v>
      </c>
      <c r="H59" s="24" t="str">
        <f>dept_expenses[[#This Row],[year]] &amp; "-Q" &amp; dept_expenses[[#This Row],[quarter]]</f>
        <v>2023-Q1</v>
      </c>
    </row>
    <row r="60" spans="1:8" x14ac:dyDescent="0.35">
      <c r="A60" s="20">
        <v>3</v>
      </c>
      <c r="B60" s="18">
        <v>5</v>
      </c>
      <c r="C60" s="18">
        <v>2023</v>
      </c>
      <c r="D60" s="18">
        <v>2</v>
      </c>
      <c r="E60" s="21">
        <v>9085035</v>
      </c>
      <c r="F60" s="18" t="str">
        <f>INDEX(companies[company_name], MATCH(dept_expenses[company_id], companies[company_id], 0))</f>
        <v>ITC</v>
      </c>
      <c r="G60" s="18" t="str">
        <f>INDEX(departments[dept_name], MATCH(dept_expenses[dept_id], departments[dept_id], 0))</f>
        <v>Tax</v>
      </c>
      <c r="H60" s="24" t="str">
        <f>dept_expenses[[#This Row],[year]] &amp; "-Q" &amp; dept_expenses[[#This Row],[quarter]]</f>
        <v>2023-Q2</v>
      </c>
    </row>
    <row r="61" spans="1:8" x14ac:dyDescent="0.35">
      <c r="A61" s="20">
        <v>3</v>
      </c>
      <c r="B61" s="18">
        <v>5</v>
      </c>
      <c r="C61" s="18">
        <v>2023</v>
      </c>
      <c r="D61" s="18">
        <v>4</v>
      </c>
      <c r="E61" s="21">
        <v>245126</v>
      </c>
      <c r="F61" s="18" t="str">
        <f>INDEX(companies[company_name], MATCH(dept_expenses[company_id], companies[company_id], 0))</f>
        <v>ITC</v>
      </c>
      <c r="G61" s="18" t="str">
        <f>INDEX(departments[dept_name], MATCH(dept_expenses[dept_id], departments[dept_id], 0))</f>
        <v>Tax</v>
      </c>
      <c r="H61" s="24" t="str">
        <f>dept_expenses[[#This Row],[year]] &amp; "-Q" &amp; dept_expenses[[#This Row],[quarter]]</f>
        <v>2023-Q4</v>
      </c>
    </row>
    <row r="62" spans="1:8" x14ac:dyDescent="0.35">
      <c r="A62" s="20">
        <v>4</v>
      </c>
      <c r="B62" s="18">
        <v>1</v>
      </c>
      <c r="C62" s="18">
        <v>2020</v>
      </c>
      <c r="D62" s="18">
        <v>4</v>
      </c>
      <c r="E62" s="21">
        <v>4376268</v>
      </c>
      <c r="F62" s="18" t="str">
        <f>INDEX(companies[company_name], MATCH(dept_expenses[company_id], companies[company_id], 0))</f>
        <v>Byjus</v>
      </c>
      <c r="G62" s="18" t="str">
        <f>INDEX(departments[dept_name], MATCH(dept_expenses[dept_id], departments[dept_id], 0))</f>
        <v>Sales</v>
      </c>
      <c r="H62" s="24" t="str">
        <f>dept_expenses[[#This Row],[year]] &amp; "-Q" &amp; dept_expenses[[#This Row],[quarter]]</f>
        <v>2020-Q4</v>
      </c>
    </row>
    <row r="63" spans="1:8" x14ac:dyDescent="0.35">
      <c r="A63" s="20">
        <v>4</v>
      </c>
      <c r="B63" s="18">
        <v>1</v>
      </c>
      <c r="C63" s="18">
        <v>2021</v>
      </c>
      <c r="D63" s="18">
        <v>1</v>
      </c>
      <c r="E63" s="21">
        <v>5920703</v>
      </c>
      <c r="F63" s="18" t="str">
        <f>INDEX(companies[company_name], MATCH(dept_expenses[company_id], companies[company_id], 0))</f>
        <v>Byjus</v>
      </c>
      <c r="G63" s="18" t="str">
        <f>INDEX(departments[dept_name], MATCH(dept_expenses[dept_id], departments[dept_id], 0))</f>
        <v>Sales</v>
      </c>
      <c r="H63" s="24" t="str">
        <f>dept_expenses[[#This Row],[year]] &amp; "-Q" &amp; dept_expenses[[#This Row],[quarter]]</f>
        <v>2021-Q1</v>
      </c>
    </row>
    <row r="64" spans="1:8" x14ac:dyDescent="0.35">
      <c r="A64" s="20">
        <v>4</v>
      </c>
      <c r="B64" s="18">
        <v>1</v>
      </c>
      <c r="C64" s="18">
        <v>2021</v>
      </c>
      <c r="D64" s="18">
        <v>2</v>
      </c>
      <c r="E64" s="21">
        <v>8734969</v>
      </c>
      <c r="F64" s="18" t="str">
        <f>INDEX(companies[company_name], MATCH(dept_expenses[company_id], companies[company_id], 0))</f>
        <v>Byjus</v>
      </c>
      <c r="G64" s="18" t="str">
        <f>INDEX(departments[dept_name], MATCH(dept_expenses[dept_id], departments[dept_id], 0))</f>
        <v>Sales</v>
      </c>
      <c r="H64" s="24" t="str">
        <f>dept_expenses[[#This Row],[year]] &amp; "-Q" &amp; dept_expenses[[#This Row],[quarter]]</f>
        <v>2021-Q2</v>
      </c>
    </row>
    <row r="65" spans="1:8" x14ac:dyDescent="0.35">
      <c r="A65" s="20">
        <v>4</v>
      </c>
      <c r="B65" s="18">
        <v>1</v>
      </c>
      <c r="C65" s="18">
        <v>2021</v>
      </c>
      <c r="D65" s="18">
        <v>3</v>
      </c>
      <c r="E65" s="21">
        <v>6111981</v>
      </c>
      <c r="F65" s="18" t="str">
        <f>INDEX(companies[company_name], MATCH(dept_expenses[company_id], companies[company_id], 0))</f>
        <v>Byjus</v>
      </c>
      <c r="G65" s="18" t="str">
        <f>INDEX(departments[dept_name], MATCH(dept_expenses[dept_id], departments[dept_id], 0))</f>
        <v>Sales</v>
      </c>
      <c r="H65" s="24" t="str">
        <f>dept_expenses[[#This Row],[year]] &amp; "-Q" &amp; dept_expenses[[#This Row],[quarter]]</f>
        <v>2021-Q3</v>
      </c>
    </row>
    <row r="66" spans="1:8" x14ac:dyDescent="0.35">
      <c r="A66" s="20">
        <v>4</v>
      </c>
      <c r="B66" s="18">
        <v>2</v>
      </c>
      <c r="C66" s="18">
        <v>2021</v>
      </c>
      <c r="D66" s="18">
        <v>1</v>
      </c>
      <c r="E66" s="21">
        <v>9867460</v>
      </c>
      <c r="F66" s="18" t="str">
        <f>INDEX(companies[company_name], MATCH(dept_expenses[company_id], companies[company_id], 0))</f>
        <v>Byjus</v>
      </c>
      <c r="G66" s="18" t="str">
        <f>INDEX(departments[dept_name], MATCH(dept_expenses[dept_id], departments[dept_id], 0))</f>
        <v>HR</v>
      </c>
      <c r="H66" s="24" t="str">
        <f>dept_expenses[[#This Row],[year]] &amp; "-Q" &amp; dept_expenses[[#This Row],[quarter]]</f>
        <v>2021-Q1</v>
      </c>
    </row>
    <row r="67" spans="1:8" x14ac:dyDescent="0.35">
      <c r="A67" s="20">
        <v>4</v>
      </c>
      <c r="B67" s="18">
        <v>2</v>
      </c>
      <c r="C67" s="18">
        <v>2021</v>
      </c>
      <c r="D67" s="18">
        <v>2</v>
      </c>
      <c r="E67" s="21">
        <v>9491706</v>
      </c>
      <c r="F67" s="18" t="str">
        <f>INDEX(companies[company_name], MATCH(dept_expenses[company_id], companies[company_id], 0))</f>
        <v>Byjus</v>
      </c>
      <c r="G67" s="18" t="str">
        <f>INDEX(departments[dept_name], MATCH(dept_expenses[dept_id], departments[dept_id], 0))</f>
        <v>HR</v>
      </c>
      <c r="H67" s="24" t="str">
        <f>dept_expenses[[#This Row],[year]] &amp; "-Q" &amp; dept_expenses[[#This Row],[quarter]]</f>
        <v>2021-Q2</v>
      </c>
    </row>
    <row r="68" spans="1:8" x14ac:dyDescent="0.35">
      <c r="A68" s="20">
        <v>4</v>
      </c>
      <c r="B68" s="18">
        <v>2</v>
      </c>
      <c r="C68" s="18">
        <v>2021</v>
      </c>
      <c r="D68" s="18">
        <v>3</v>
      </c>
      <c r="E68" s="21">
        <v>5523942</v>
      </c>
      <c r="F68" s="18" t="str">
        <f>INDEX(companies[company_name], MATCH(dept_expenses[company_id], companies[company_id], 0))</f>
        <v>Byjus</v>
      </c>
      <c r="G68" s="18" t="str">
        <f>INDEX(departments[dept_name], MATCH(dept_expenses[dept_id], departments[dept_id], 0))</f>
        <v>HR</v>
      </c>
      <c r="H68" s="24" t="str">
        <f>dept_expenses[[#This Row],[year]] &amp; "-Q" &amp; dept_expenses[[#This Row],[quarter]]</f>
        <v>2021-Q3</v>
      </c>
    </row>
    <row r="69" spans="1:8" x14ac:dyDescent="0.35">
      <c r="A69" s="20">
        <v>4</v>
      </c>
      <c r="B69" s="18">
        <v>2</v>
      </c>
      <c r="C69" s="18">
        <v>2022</v>
      </c>
      <c r="D69" s="18">
        <v>4</v>
      </c>
      <c r="E69" s="21">
        <v>3984727</v>
      </c>
      <c r="F69" s="18" t="str">
        <f>INDEX(companies[company_name], MATCH(dept_expenses[company_id], companies[company_id], 0))</f>
        <v>Byjus</v>
      </c>
      <c r="G69" s="18" t="str">
        <f>INDEX(departments[dept_name], MATCH(dept_expenses[dept_id], departments[dept_id], 0))</f>
        <v>HR</v>
      </c>
      <c r="H69" s="24" t="str">
        <f>dept_expenses[[#This Row],[year]] &amp; "-Q" &amp; dept_expenses[[#This Row],[quarter]]</f>
        <v>2022-Q4</v>
      </c>
    </row>
    <row r="70" spans="1:8" x14ac:dyDescent="0.35">
      <c r="A70" s="20">
        <v>4</v>
      </c>
      <c r="B70" s="18">
        <v>3</v>
      </c>
      <c r="C70" s="18">
        <v>2020</v>
      </c>
      <c r="D70" s="18">
        <v>4</v>
      </c>
      <c r="E70" s="21">
        <v>6570635</v>
      </c>
      <c r="F70" s="18" t="str">
        <f>INDEX(companies[company_name], MATCH(dept_expenses[company_id], companies[company_id], 0))</f>
        <v>Byjus</v>
      </c>
      <c r="G70" s="18" t="str">
        <f>INDEX(departments[dept_name], MATCH(dept_expenses[dept_id], departments[dept_id], 0))</f>
        <v>Finance</v>
      </c>
      <c r="H70" s="24" t="str">
        <f>dept_expenses[[#This Row],[year]] &amp; "-Q" &amp; dept_expenses[[#This Row],[quarter]]</f>
        <v>2020-Q4</v>
      </c>
    </row>
    <row r="71" spans="1:8" x14ac:dyDescent="0.35">
      <c r="A71" s="20">
        <v>4</v>
      </c>
      <c r="B71" s="18">
        <v>3</v>
      </c>
      <c r="C71" s="18">
        <v>2021</v>
      </c>
      <c r="D71" s="18">
        <v>2</v>
      </c>
      <c r="E71" s="21">
        <v>930205</v>
      </c>
      <c r="F71" s="18" t="str">
        <f>INDEX(companies[company_name], MATCH(dept_expenses[company_id], companies[company_id], 0))</f>
        <v>Byjus</v>
      </c>
      <c r="G71" s="18" t="str">
        <f>INDEX(departments[dept_name], MATCH(dept_expenses[dept_id], departments[dept_id], 0))</f>
        <v>Finance</v>
      </c>
      <c r="H71" s="24" t="str">
        <f>dept_expenses[[#This Row],[year]] &amp; "-Q" &amp; dept_expenses[[#This Row],[quarter]]</f>
        <v>2021-Q2</v>
      </c>
    </row>
    <row r="72" spans="1:8" x14ac:dyDescent="0.35">
      <c r="A72" s="20">
        <v>4</v>
      </c>
      <c r="B72" s="18">
        <v>3</v>
      </c>
      <c r="C72" s="18">
        <v>2022</v>
      </c>
      <c r="D72" s="18">
        <v>3</v>
      </c>
      <c r="E72" s="21">
        <v>8019056</v>
      </c>
      <c r="F72" s="18" t="str">
        <f>INDEX(companies[company_name], MATCH(dept_expenses[company_id], companies[company_id], 0))</f>
        <v>Byjus</v>
      </c>
      <c r="G72" s="18" t="str">
        <f>INDEX(departments[dept_name], MATCH(dept_expenses[dept_id], departments[dept_id], 0))</f>
        <v>Finance</v>
      </c>
      <c r="H72" s="24" t="str">
        <f>dept_expenses[[#This Row],[year]] &amp; "-Q" &amp; dept_expenses[[#This Row],[quarter]]</f>
        <v>2022-Q3</v>
      </c>
    </row>
    <row r="73" spans="1:8" x14ac:dyDescent="0.35">
      <c r="A73" s="20">
        <v>4</v>
      </c>
      <c r="B73" s="18">
        <v>3</v>
      </c>
      <c r="C73" s="18">
        <v>2023</v>
      </c>
      <c r="D73" s="18">
        <v>1</v>
      </c>
      <c r="E73" s="21">
        <v>9008423</v>
      </c>
      <c r="F73" s="18" t="str">
        <f>INDEX(companies[company_name], MATCH(dept_expenses[company_id], companies[company_id], 0))</f>
        <v>Byjus</v>
      </c>
      <c r="G73" s="18" t="str">
        <f>INDEX(departments[dept_name], MATCH(dept_expenses[dept_id], departments[dept_id], 0))</f>
        <v>Finance</v>
      </c>
      <c r="H73" s="24" t="str">
        <f>dept_expenses[[#This Row],[year]] &amp; "-Q" &amp; dept_expenses[[#This Row],[quarter]]</f>
        <v>2023-Q1</v>
      </c>
    </row>
    <row r="74" spans="1:8" x14ac:dyDescent="0.35">
      <c r="A74" s="20">
        <v>4</v>
      </c>
      <c r="B74" s="18">
        <v>4</v>
      </c>
      <c r="C74" s="18">
        <v>2020</v>
      </c>
      <c r="D74" s="18">
        <v>1</v>
      </c>
      <c r="E74" s="21">
        <v>8448209</v>
      </c>
      <c r="F74" s="18" t="str">
        <f>INDEX(companies[company_name], MATCH(dept_expenses[company_id], companies[company_id], 0))</f>
        <v>Byjus</v>
      </c>
      <c r="G74" s="18" t="str">
        <f>INDEX(departments[dept_name], MATCH(dept_expenses[dept_id], departments[dept_id], 0))</f>
        <v>Audit</v>
      </c>
      <c r="H74" s="24" t="str">
        <f>dept_expenses[[#This Row],[year]] &amp; "-Q" &amp; dept_expenses[[#This Row],[quarter]]</f>
        <v>2020-Q1</v>
      </c>
    </row>
    <row r="75" spans="1:8" x14ac:dyDescent="0.35">
      <c r="A75" s="20">
        <v>4</v>
      </c>
      <c r="B75" s="18">
        <v>4</v>
      </c>
      <c r="C75" s="18">
        <v>2020</v>
      </c>
      <c r="D75" s="18">
        <v>2</v>
      </c>
      <c r="E75" s="21">
        <v>8644900</v>
      </c>
      <c r="F75" s="18" t="str">
        <f>INDEX(companies[company_name], MATCH(dept_expenses[company_id], companies[company_id], 0))</f>
        <v>Byjus</v>
      </c>
      <c r="G75" s="18" t="str">
        <f>INDEX(departments[dept_name], MATCH(dept_expenses[dept_id], departments[dept_id], 0))</f>
        <v>Audit</v>
      </c>
      <c r="H75" s="24" t="str">
        <f>dept_expenses[[#This Row],[year]] &amp; "-Q" &amp; dept_expenses[[#This Row],[quarter]]</f>
        <v>2020-Q2</v>
      </c>
    </row>
    <row r="76" spans="1:8" x14ac:dyDescent="0.35">
      <c r="A76" s="20">
        <v>4</v>
      </c>
      <c r="B76" s="18">
        <v>4</v>
      </c>
      <c r="C76" s="18">
        <v>2020</v>
      </c>
      <c r="D76" s="18">
        <v>4</v>
      </c>
      <c r="E76" s="21">
        <v>9410096</v>
      </c>
      <c r="F76" s="18" t="str">
        <f>INDEX(companies[company_name], MATCH(dept_expenses[company_id], companies[company_id], 0))</f>
        <v>Byjus</v>
      </c>
      <c r="G76" s="18" t="str">
        <f>INDEX(departments[dept_name], MATCH(dept_expenses[dept_id], departments[dept_id], 0))</f>
        <v>Audit</v>
      </c>
      <c r="H76" s="24" t="str">
        <f>dept_expenses[[#This Row],[year]] &amp; "-Q" &amp; dept_expenses[[#This Row],[quarter]]</f>
        <v>2020-Q4</v>
      </c>
    </row>
    <row r="77" spans="1:8" x14ac:dyDescent="0.35">
      <c r="A77" s="20">
        <v>4</v>
      </c>
      <c r="B77" s="18">
        <v>4</v>
      </c>
      <c r="C77" s="18">
        <v>2021</v>
      </c>
      <c r="D77" s="18">
        <v>3</v>
      </c>
      <c r="E77" s="21">
        <v>4553882</v>
      </c>
      <c r="F77" s="18" t="str">
        <f>INDEX(companies[company_name], MATCH(dept_expenses[company_id], companies[company_id], 0))</f>
        <v>Byjus</v>
      </c>
      <c r="G77" s="18" t="str">
        <f>INDEX(departments[dept_name], MATCH(dept_expenses[dept_id], departments[dept_id], 0))</f>
        <v>Audit</v>
      </c>
      <c r="H77" s="24" t="str">
        <f>dept_expenses[[#This Row],[year]] &amp; "-Q" &amp; dept_expenses[[#This Row],[quarter]]</f>
        <v>2021-Q3</v>
      </c>
    </row>
    <row r="78" spans="1:8" x14ac:dyDescent="0.35">
      <c r="A78" s="20">
        <v>4</v>
      </c>
      <c r="B78" s="18">
        <v>5</v>
      </c>
      <c r="C78" s="18">
        <v>2020</v>
      </c>
      <c r="D78" s="18">
        <v>4</v>
      </c>
      <c r="E78" s="21">
        <v>5673915</v>
      </c>
      <c r="F78" s="18" t="str">
        <f>INDEX(companies[company_name], MATCH(dept_expenses[company_id], companies[company_id], 0))</f>
        <v>Byjus</v>
      </c>
      <c r="G78" s="18" t="str">
        <f>INDEX(departments[dept_name], MATCH(dept_expenses[dept_id], departments[dept_id], 0))</f>
        <v>Tax</v>
      </c>
      <c r="H78" s="24" t="str">
        <f>dept_expenses[[#This Row],[year]] &amp; "-Q" &amp; dept_expenses[[#This Row],[quarter]]</f>
        <v>2020-Q4</v>
      </c>
    </row>
    <row r="79" spans="1:8" x14ac:dyDescent="0.35">
      <c r="A79" s="20">
        <v>4</v>
      </c>
      <c r="B79" s="18">
        <v>5</v>
      </c>
      <c r="C79" s="18">
        <v>2021</v>
      </c>
      <c r="D79" s="18">
        <v>1</v>
      </c>
      <c r="E79" s="21">
        <v>8198836</v>
      </c>
      <c r="F79" s="18" t="str">
        <f>INDEX(companies[company_name], MATCH(dept_expenses[company_id], companies[company_id], 0))</f>
        <v>Byjus</v>
      </c>
      <c r="G79" s="18" t="str">
        <f>INDEX(departments[dept_name], MATCH(dept_expenses[dept_id], departments[dept_id], 0))</f>
        <v>Tax</v>
      </c>
      <c r="H79" s="24" t="str">
        <f>dept_expenses[[#This Row],[year]] &amp; "-Q" &amp; dept_expenses[[#This Row],[quarter]]</f>
        <v>2021-Q1</v>
      </c>
    </row>
    <row r="80" spans="1:8" x14ac:dyDescent="0.35">
      <c r="A80" s="20">
        <v>4</v>
      </c>
      <c r="B80" s="18">
        <v>5</v>
      </c>
      <c r="C80" s="18">
        <v>2022</v>
      </c>
      <c r="D80" s="18">
        <v>3</v>
      </c>
      <c r="E80" s="21">
        <v>7027169</v>
      </c>
      <c r="F80" s="18" t="str">
        <f>INDEX(companies[company_name], MATCH(dept_expenses[company_id], companies[company_id], 0))</f>
        <v>Byjus</v>
      </c>
      <c r="G80" s="18" t="str">
        <f>INDEX(departments[dept_name], MATCH(dept_expenses[dept_id], departments[dept_id], 0))</f>
        <v>Tax</v>
      </c>
      <c r="H80" s="24" t="str">
        <f>dept_expenses[[#This Row],[year]] &amp; "-Q" &amp; dept_expenses[[#This Row],[quarter]]</f>
        <v>2022-Q3</v>
      </c>
    </row>
    <row r="81" spans="1:8" x14ac:dyDescent="0.35">
      <c r="A81" s="20">
        <v>4</v>
      </c>
      <c r="B81" s="18">
        <v>5</v>
      </c>
      <c r="C81" s="18">
        <v>2023</v>
      </c>
      <c r="D81" s="18">
        <v>2</v>
      </c>
      <c r="E81" s="21">
        <v>4485663</v>
      </c>
      <c r="F81" s="18" t="str">
        <f>INDEX(companies[company_name], MATCH(dept_expenses[company_id], companies[company_id], 0))</f>
        <v>Byjus</v>
      </c>
      <c r="G81" s="18" t="str">
        <f>INDEX(departments[dept_name], MATCH(dept_expenses[dept_id], departments[dept_id], 0))</f>
        <v>Tax</v>
      </c>
      <c r="H81" s="24" t="str">
        <f>dept_expenses[[#This Row],[year]] &amp; "-Q" &amp; dept_expenses[[#This Row],[quarter]]</f>
        <v>2023-Q2</v>
      </c>
    </row>
    <row r="82" spans="1:8" x14ac:dyDescent="0.35">
      <c r="A82" s="20">
        <v>5</v>
      </c>
      <c r="B82" s="18">
        <v>1</v>
      </c>
      <c r="C82" s="18">
        <v>2020</v>
      </c>
      <c r="D82" s="18">
        <v>2</v>
      </c>
      <c r="E82" s="21">
        <v>4482018</v>
      </c>
      <c r="F82" s="18" t="str">
        <f>INDEX(companies[company_name], MATCH(dept_expenses[company_id], companies[company_id], 0))</f>
        <v>Infosys</v>
      </c>
      <c r="G82" s="18" t="str">
        <f>INDEX(departments[dept_name], MATCH(dept_expenses[dept_id], departments[dept_id], 0))</f>
        <v>Sales</v>
      </c>
      <c r="H82" s="24" t="str">
        <f>dept_expenses[[#This Row],[year]] &amp; "-Q" &amp; dept_expenses[[#This Row],[quarter]]</f>
        <v>2020-Q2</v>
      </c>
    </row>
    <row r="83" spans="1:8" x14ac:dyDescent="0.35">
      <c r="A83" s="20">
        <v>5</v>
      </c>
      <c r="B83" s="18">
        <v>1</v>
      </c>
      <c r="C83" s="18">
        <v>2021</v>
      </c>
      <c r="D83" s="18">
        <v>1</v>
      </c>
      <c r="E83" s="21">
        <v>9099751</v>
      </c>
      <c r="F83" s="18" t="str">
        <f>INDEX(companies[company_name], MATCH(dept_expenses[company_id], companies[company_id], 0))</f>
        <v>Infosys</v>
      </c>
      <c r="G83" s="18" t="str">
        <f>INDEX(departments[dept_name], MATCH(dept_expenses[dept_id], departments[dept_id], 0))</f>
        <v>Sales</v>
      </c>
      <c r="H83" s="24" t="str">
        <f>dept_expenses[[#This Row],[year]] &amp; "-Q" &amp; dept_expenses[[#This Row],[quarter]]</f>
        <v>2021-Q1</v>
      </c>
    </row>
    <row r="84" spans="1:8" x14ac:dyDescent="0.35">
      <c r="A84" s="20">
        <v>5</v>
      </c>
      <c r="B84" s="18">
        <v>1</v>
      </c>
      <c r="C84" s="18">
        <v>2021</v>
      </c>
      <c r="D84" s="18">
        <v>4</v>
      </c>
      <c r="E84" s="21">
        <v>864219</v>
      </c>
      <c r="F84" s="18" t="str">
        <f>INDEX(companies[company_name], MATCH(dept_expenses[company_id], companies[company_id], 0))</f>
        <v>Infosys</v>
      </c>
      <c r="G84" s="18" t="str">
        <f>INDEX(departments[dept_name], MATCH(dept_expenses[dept_id], departments[dept_id], 0))</f>
        <v>Sales</v>
      </c>
      <c r="H84" s="24" t="str">
        <f>dept_expenses[[#This Row],[year]] &amp; "-Q" &amp; dept_expenses[[#This Row],[quarter]]</f>
        <v>2021-Q4</v>
      </c>
    </row>
    <row r="85" spans="1:8" x14ac:dyDescent="0.35">
      <c r="A85" s="20">
        <v>5</v>
      </c>
      <c r="B85" s="18">
        <v>1</v>
      </c>
      <c r="C85" s="18">
        <v>2022</v>
      </c>
      <c r="D85" s="18">
        <v>3</v>
      </c>
      <c r="E85" s="21">
        <v>5423595</v>
      </c>
      <c r="F85" s="18" t="str">
        <f>INDEX(companies[company_name], MATCH(dept_expenses[company_id], companies[company_id], 0))</f>
        <v>Infosys</v>
      </c>
      <c r="G85" s="18" t="str">
        <f>INDEX(departments[dept_name], MATCH(dept_expenses[dept_id], departments[dept_id], 0))</f>
        <v>Sales</v>
      </c>
      <c r="H85" s="24" t="str">
        <f>dept_expenses[[#This Row],[year]] &amp; "-Q" &amp; dept_expenses[[#This Row],[quarter]]</f>
        <v>2022-Q3</v>
      </c>
    </row>
    <row r="86" spans="1:8" x14ac:dyDescent="0.35">
      <c r="A86" s="20">
        <v>5</v>
      </c>
      <c r="B86" s="18">
        <v>2</v>
      </c>
      <c r="C86" s="18">
        <v>2021</v>
      </c>
      <c r="D86" s="18">
        <v>3</v>
      </c>
      <c r="E86" s="21">
        <v>9112440</v>
      </c>
      <c r="F86" s="18" t="str">
        <f>INDEX(companies[company_name], MATCH(dept_expenses[company_id], companies[company_id], 0))</f>
        <v>Infosys</v>
      </c>
      <c r="G86" s="18" t="str">
        <f>INDEX(departments[dept_name], MATCH(dept_expenses[dept_id], departments[dept_id], 0))</f>
        <v>HR</v>
      </c>
      <c r="H86" s="24" t="str">
        <f>dept_expenses[[#This Row],[year]] &amp; "-Q" &amp; dept_expenses[[#This Row],[quarter]]</f>
        <v>2021-Q3</v>
      </c>
    </row>
    <row r="87" spans="1:8" x14ac:dyDescent="0.35">
      <c r="A87" s="20">
        <v>5</v>
      </c>
      <c r="B87" s="18">
        <v>2</v>
      </c>
      <c r="C87" s="18">
        <v>2022</v>
      </c>
      <c r="D87" s="18">
        <v>2</v>
      </c>
      <c r="E87" s="21">
        <v>2253109</v>
      </c>
      <c r="F87" s="18" t="str">
        <f>INDEX(companies[company_name], MATCH(dept_expenses[company_id], companies[company_id], 0))</f>
        <v>Infosys</v>
      </c>
      <c r="G87" s="18" t="str">
        <f>INDEX(departments[dept_name], MATCH(dept_expenses[dept_id], departments[dept_id], 0))</f>
        <v>HR</v>
      </c>
      <c r="H87" s="24" t="str">
        <f>dept_expenses[[#This Row],[year]] &amp; "-Q" &amp; dept_expenses[[#This Row],[quarter]]</f>
        <v>2022-Q2</v>
      </c>
    </row>
    <row r="88" spans="1:8" x14ac:dyDescent="0.35">
      <c r="A88" s="20">
        <v>5</v>
      </c>
      <c r="B88" s="18">
        <v>2</v>
      </c>
      <c r="C88" s="18">
        <v>2022</v>
      </c>
      <c r="D88" s="18">
        <v>4</v>
      </c>
      <c r="E88" s="21">
        <v>4746044</v>
      </c>
      <c r="F88" s="18" t="str">
        <f>INDEX(companies[company_name], MATCH(dept_expenses[company_id], companies[company_id], 0))</f>
        <v>Infosys</v>
      </c>
      <c r="G88" s="18" t="str">
        <f>INDEX(departments[dept_name], MATCH(dept_expenses[dept_id], departments[dept_id], 0))</f>
        <v>HR</v>
      </c>
      <c r="H88" s="24" t="str">
        <f>dept_expenses[[#This Row],[year]] &amp; "-Q" &amp; dept_expenses[[#This Row],[quarter]]</f>
        <v>2022-Q4</v>
      </c>
    </row>
    <row r="89" spans="1:8" x14ac:dyDescent="0.35">
      <c r="A89" s="20">
        <v>5</v>
      </c>
      <c r="B89" s="18">
        <v>2</v>
      </c>
      <c r="C89" s="18">
        <v>2023</v>
      </c>
      <c r="D89" s="18">
        <v>1</v>
      </c>
      <c r="E89" s="21">
        <v>1040157</v>
      </c>
      <c r="F89" s="18" t="str">
        <f>INDEX(companies[company_name], MATCH(dept_expenses[company_id], companies[company_id], 0))</f>
        <v>Infosys</v>
      </c>
      <c r="G89" s="18" t="str">
        <f>INDEX(departments[dept_name], MATCH(dept_expenses[dept_id], departments[dept_id], 0))</f>
        <v>HR</v>
      </c>
      <c r="H89" s="24" t="str">
        <f>dept_expenses[[#This Row],[year]] &amp; "-Q" &amp; dept_expenses[[#This Row],[quarter]]</f>
        <v>2023-Q1</v>
      </c>
    </row>
    <row r="90" spans="1:8" x14ac:dyDescent="0.35">
      <c r="A90" s="20">
        <v>5</v>
      </c>
      <c r="B90" s="18">
        <v>3</v>
      </c>
      <c r="C90" s="18">
        <v>2020</v>
      </c>
      <c r="D90" s="18">
        <v>2</v>
      </c>
      <c r="E90" s="21">
        <v>505576</v>
      </c>
      <c r="F90" s="18" t="str">
        <f>INDEX(companies[company_name], MATCH(dept_expenses[company_id], companies[company_id], 0))</f>
        <v>Infosys</v>
      </c>
      <c r="G90" s="18" t="str">
        <f>INDEX(departments[dept_name], MATCH(dept_expenses[dept_id], departments[dept_id], 0))</f>
        <v>Finance</v>
      </c>
      <c r="H90" s="24" t="str">
        <f>dept_expenses[[#This Row],[year]] &amp; "-Q" &amp; dept_expenses[[#This Row],[quarter]]</f>
        <v>2020-Q2</v>
      </c>
    </row>
    <row r="91" spans="1:8" x14ac:dyDescent="0.35">
      <c r="A91" s="20">
        <v>5</v>
      </c>
      <c r="B91" s="18">
        <v>3</v>
      </c>
      <c r="C91" s="18">
        <v>2021</v>
      </c>
      <c r="D91" s="18">
        <v>4</v>
      </c>
      <c r="E91" s="21">
        <v>7075812</v>
      </c>
      <c r="F91" s="18" t="str">
        <f>INDEX(companies[company_name], MATCH(dept_expenses[company_id], companies[company_id], 0))</f>
        <v>Infosys</v>
      </c>
      <c r="G91" s="18" t="str">
        <f>INDEX(departments[dept_name], MATCH(dept_expenses[dept_id], departments[dept_id], 0))</f>
        <v>Finance</v>
      </c>
      <c r="H91" s="24" t="str">
        <f>dept_expenses[[#This Row],[year]] &amp; "-Q" &amp; dept_expenses[[#This Row],[quarter]]</f>
        <v>2021-Q4</v>
      </c>
    </row>
    <row r="92" spans="1:8" x14ac:dyDescent="0.35">
      <c r="A92" s="20">
        <v>5</v>
      </c>
      <c r="B92" s="18">
        <v>3</v>
      </c>
      <c r="C92" s="18">
        <v>2022</v>
      </c>
      <c r="D92" s="18">
        <v>1</v>
      </c>
      <c r="E92" s="21">
        <v>5472117</v>
      </c>
      <c r="F92" s="18" t="str">
        <f>INDEX(companies[company_name], MATCH(dept_expenses[company_id], companies[company_id], 0))</f>
        <v>Infosys</v>
      </c>
      <c r="G92" s="18" t="str">
        <f>INDEX(departments[dept_name], MATCH(dept_expenses[dept_id], departments[dept_id], 0))</f>
        <v>Finance</v>
      </c>
      <c r="H92" s="24" t="str">
        <f>dept_expenses[[#This Row],[year]] &amp; "-Q" &amp; dept_expenses[[#This Row],[quarter]]</f>
        <v>2022-Q1</v>
      </c>
    </row>
    <row r="93" spans="1:8" x14ac:dyDescent="0.35">
      <c r="A93" s="20">
        <v>5</v>
      </c>
      <c r="B93" s="18">
        <v>3</v>
      </c>
      <c r="C93" s="18">
        <v>2022</v>
      </c>
      <c r="D93" s="18">
        <v>3</v>
      </c>
      <c r="E93" s="21">
        <v>1700728</v>
      </c>
      <c r="F93" s="18" t="str">
        <f>INDEX(companies[company_name], MATCH(dept_expenses[company_id], companies[company_id], 0))</f>
        <v>Infosys</v>
      </c>
      <c r="G93" s="18" t="str">
        <f>INDEX(departments[dept_name], MATCH(dept_expenses[dept_id], departments[dept_id], 0))</f>
        <v>Finance</v>
      </c>
      <c r="H93" s="24" t="str">
        <f>dept_expenses[[#This Row],[year]] &amp; "-Q" &amp; dept_expenses[[#This Row],[quarter]]</f>
        <v>2022-Q3</v>
      </c>
    </row>
    <row r="94" spans="1:8" x14ac:dyDescent="0.35">
      <c r="A94" s="20">
        <v>5</v>
      </c>
      <c r="B94" s="18">
        <v>4</v>
      </c>
      <c r="C94" s="18">
        <v>2020</v>
      </c>
      <c r="D94" s="18">
        <v>2</v>
      </c>
      <c r="E94" s="21">
        <v>8290993</v>
      </c>
      <c r="F94" s="18" t="str">
        <f>INDEX(companies[company_name], MATCH(dept_expenses[company_id], companies[company_id], 0))</f>
        <v>Infosys</v>
      </c>
      <c r="G94" s="18" t="str">
        <f>INDEX(departments[dept_name], MATCH(dept_expenses[dept_id], departments[dept_id], 0))</f>
        <v>Audit</v>
      </c>
      <c r="H94" s="24" t="str">
        <f>dept_expenses[[#This Row],[year]] &amp; "-Q" &amp; dept_expenses[[#This Row],[quarter]]</f>
        <v>2020-Q2</v>
      </c>
    </row>
    <row r="95" spans="1:8" x14ac:dyDescent="0.35">
      <c r="A95" s="20">
        <v>5</v>
      </c>
      <c r="B95" s="18">
        <v>4</v>
      </c>
      <c r="C95" s="18">
        <v>2021</v>
      </c>
      <c r="D95" s="18">
        <v>3</v>
      </c>
      <c r="E95" s="21">
        <v>701005</v>
      </c>
      <c r="F95" s="18" t="str">
        <f>INDEX(companies[company_name], MATCH(dept_expenses[company_id], companies[company_id], 0))</f>
        <v>Infosys</v>
      </c>
      <c r="G95" s="18" t="str">
        <f>INDEX(departments[dept_name], MATCH(dept_expenses[dept_id], departments[dept_id], 0))</f>
        <v>Audit</v>
      </c>
      <c r="H95" s="24" t="str">
        <f>dept_expenses[[#This Row],[year]] &amp; "-Q" &amp; dept_expenses[[#This Row],[quarter]]</f>
        <v>2021-Q3</v>
      </c>
    </row>
    <row r="96" spans="1:8" x14ac:dyDescent="0.35">
      <c r="A96" s="20">
        <v>5</v>
      </c>
      <c r="B96" s="18">
        <v>4</v>
      </c>
      <c r="C96" s="18">
        <v>2022</v>
      </c>
      <c r="D96" s="18">
        <v>1</v>
      </c>
      <c r="E96" s="21">
        <v>4856819</v>
      </c>
      <c r="F96" s="18" t="str">
        <f>INDEX(companies[company_name], MATCH(dept_expenses[company_id], companies[company_id], 0))</f>
        <v>Infosys</v>
      </c>
      <c r="G96" s="18" t="str">
        <f>INDEX(departments[dept_name], MATCH(dept_expenses[dept_id], departments[dept_id], 0))</f>
        <v>Audit</v>
      </c>
      <c r="H96" s="24" t="str">
        <f>dept_expenses[[#This Row],[year]] &amp; "-Q" &amp; dept_expenses[[#This Row],[quarter]]</f>
        <v>2022-Q1</v>
      </c>
    </row>
    <row r="97" spans="1:8" x14ac:dyDescent="0.35">
      <c r="A97" s="20">
        <v>5</v>
      </c>
      <c r="B97" s="18">
        <v>4</v>
      </c>
      <c r="C97" s="18">
        <v>2022</v>
      </c>
      <c r="D97" s="18">
        <v>4</v>
      </c>
      <c r="E97" s="21">
        <v>1201573</v>
      </c>
      <c r="F97" s="18" t="str">
        <f>INDEX(companies[company_name], MATCH(dept_expenses[company_id], companies[company_id], 0))</f>
        <v>Infosys</v>
      </c>
      <c r="G97" s="18" t="str">
        <f>INDEX(departments[dept_name], MATCH(dept_expenses[dept_id], departments[dept_id], 0))</f>
        <v>Audit</v>
      </c>
      <c r="H97" s="24" t="str">
        <f>dept_expenses[[#This Row],[year]] &amp; "-Q" &amp; dept_expenses[[#This Row],[quarter]]</f>
        <v>2022-Q4</v>
      </c>
    </row>
    <row r="98" spans="1:8" x14ac:dyDescent="0.35">
      <c r="A98" s="20">
        <v>5</v>
      </c>
      <c r="B98" s="18">
        <v>5</v>
      </c>
      <c r="C98" s="18">
        <v>2020</v>
      </c>
      <c r="D98" s="18">
        <v>2</v>
      </c>
      <c r="E98" s="21">
        <v>2109822</v>
      </c>
      <c r="F98" s="18" t="str">
        <f>INDEX(companies[company_name], MATCH(dept_expenses[company_id], companies[company_id], 0))</f>
        <v>Infosys</v>
      </c>
      <c r="G98" s="18" t="str">
        <f>INDEX(departments[dept_name], MATCH(dept_expenses[dept_id], departments[dept_id], 0))</f>
        <v>Tax</v>
      </c>
      <c r="H98" s="24" t="str">
        <f>dept_expenses[[#This Row],[year]] &amp; "-Q" &amp; dept_expenses[[#This Row],[quarter]]</f>
        <v>2020-Q2</v>
      </c>
    </row>
    <row r="99" spans="1:8" x14ac:dyDescent="0.35">
      <c r="A99" s="20">
        <v>5</v>
      </c>
      <c r="B99" s="18">
        <v>5</v>
      </c>
      <c r="C99" s="18">
        <v>2021</v>
      </c>
      <c r="D99" s="18">
        <v>4</v>
      </c>
      <c r="E99" s="21">
        <v>3325386</v>
      </c>
      <c r="F99" s="18" t="str">
        <f>INDEX(companies[company_name], MATCH(dept_expenses[company_id], companies[company_id], 0))</f>
        <v>Infosys</v>
      </c>
      <c r="G99" s="18" t="str">
        <f>INDEX(departments[dept_name], MATCH(dept_expenses[dept_id], departments[dept_id], 0))</f>
        <v>Tax</v>
      </c>
      <c r="H99" s="24" t="str">
        <f>dept_expenses[[#This Row],[year]] &amp; "-Q" &amp; dept_expenses[[#This Row],[quarter]]</f>
        <v>2021-Q4</v>
      </c>
    </row>
    <row r="100" spans="1:8" x14ac:dyDescent="0.35">
      <c r="A100" s="20">
        <v>5</v>
      </c>
      <c r="B100" s="18">
        <v>5</v>
      </c>
      <c r="C100" s="18">
        <v>2022</v>
      </c>
      <c r="D100" s="18">
        <v>1</v>
      </c>
      <c r="E100" s="21">
        <v>8477898</v>
      </c>
      <c r="F100" s="18" t="str">
        <f>INDEX(companies[company_name], MATCH(dept_expenses[company_id], companies[company_id], 0))</f>
        <v>Infosys</v>
      </c>
      <c r="G100" s="18" t="str">
        <f>INDEX(departments[dept_name], MATCH(dept_expenses[dept_id], departments[dept_id], 0))</f>
        <v>Tax</v>
      </c>
      <c r="H100" s="24" t="str">
        <f>dept_expenses[[#This Row],[year]] &amp; "-Q" &amp; dept_expenses[[#This Row],[quarter]]</f>
        <v>2022-Q1</v>
      </c>
    </row>
    <row r="101" spans="1:8" x14ac:dyDescent="0.35">
      <c r="A101" s="22">
        <v>5</v>
      </c>
      <c r="B101" s="19">
        <v>5</v>
      </c>
      <c r="C101" s="19">
        <v>2023</v>
      </c>
      <c r="D101" s="19">
        <v>3</v>
      </c>
      <c r="E101" s="23">
        <v>2388780</v>
      </c>
      <c r="F101" s="19" t="str">
        <f>INDEX(companies[company_name], MATCH(dept_expenses[company_id], companies[company_id], 0))</f>
        <v>Infosys</v>
      </c>
      <c r="G101" s="19" t="str">
        <f>INDEX(departments[dept_name], MATCH(dept_expenses[dept_id], departments[dept_id], 0))</f>
        <v>Tax</v>
      </c>
      <c r="H101" s="24" t="str">
        <f>dept_expenses[[#This Row],[year]] &amp; "-Q" &amp; dept_expenses[[#This Row],[quarter]]</f>
        <v>2023-Q3</v>
      </c>
    </row>
    <row r="102" spans="1:8" x14ac:dyDescent="0.35">
      <c r="A102" s="12"/>
      <c r="B102" s="1"/>
      <c r="C102" s="1"/>
      <c r="D102" s="1"/>
      <c r="E10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4E3D-831C-4077-B0FA-07B814208BA2}">
  <dimension ref="A1:B7"/>
  <sheetViews>
    <sheetView workbookViewId="0">
      <selection sqref="A1:B6"/>
    </sheetView>
  </sheetViews>
  <sheetFormatPr defaultRowHeight="14.5" x14ac:dyDescent="0.35"/>
  <cols>
    <col min="1" max="1" width="11.81640625" bestFit="1" customWidth="1"/>
    <col min="2" max="2" width="15" bestFit="1" customWidth="1"/>
  </cols>
  <sheetData>
    <row r="1" spans="1:2" s="5" customFormat="1" x14ac:dyDescent="0.35">
      <c r="A1" s="6" t="s">
        <v>20</v>
      </c>
      <c r="B1" s="8" t="s">
        <v>21</v>
      </c>
    </row>
    <row r="2" spans="1:2" x14ac:dyDescent="0.35">
      <c r="A2" s="25">
        <v>1</v>
      </c>
      <c r="B2" s="21" t="s">
        <v>9</v>
      </c>
    </row>
    <row r="3" spans="1:2" x14ac:dyDescent="0.35">
      <c r="A3" s="25">
        <v>2</v>
      </c>
      <c r="B3" s="21" t="s">
        <v>10</v>
      </c>
    </row>
    <row r="4" spans="1:2" x14ac:dyDescent="0.35">
      <c r="A4" s="25">
        <v>3</v>
      </c>
      <c r="B4" s="21" t="s">
        <v>12</v>
      </c>
    </row>
    <row r="5" spans="1:2" x14ac:dyDescent="0.35">
      <c r="A5" s="25">
        <v>4</v>
      </c>
      <c r="B5" s="21" t="s">
        <v>8</v>
      </c>
    </row>
    <row r="6" spans="1:2" x14ac:dyDescent="0.35">
      <c r="A6" s="26">
        <v>5</v>
      </c>
      <c r="B6" s="23" t="s">
        <v>19</v>
      </c>
    </row>
    <row r="7" spans="1:2" x14ac:dyDescent="0.35">
      <c r="A7" s="1"/>
      <c r="B7"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E8CFD-2671-4AE2-A35C-38F050CDC463}">
  <dimension ref="A3:U84"/>
  <sheetViews>
    <sheetView zoomScale="60" zoomScaleNormal="60" workbookViewId="0">
      <selection activeCell="I41" sqref="I41"/>
    </sheetView>
  </sheetViews>
  <sheetFormatPr defaultRowHeight="14.5" x14ac:dyDescent="0.35"/>
  <cols>
    <col min="1" max="1" width="12.7265625" bestFit="1" customWidth="1"/>
    <col min="2" max="2" width="14.08984375" bestFit="1" customWidth="1"/>
    <col min="3" max="3" width="14.1796875" bestFit="1" customWidth="1"/>
    <col min="4" max="4" width="19.6328125" bestFit="1" customWidth="1"/>
    <col min="5" max="5" width="10" bestFit="1" customWidth="1"/>
    <col min="6" max="7" width="11" bestFit="1" customWidth="1"/>
    <col min="9" max="9" width="13.453125" bestFit="1" customWidth="1"/>
    <col min="10" max="10" width="14.7265625" customWidth="1"/>
    <col min="11" max="11" width="15.90625" customWidth="1"/>
    <col min="12" max="12" width="20.36328125" customWidth="1"/>
    <col min="13" max="13" width="20.26953125" bestFit="1" customWidth="1"/>
    <col min="14" max="14" width="5.26953125" customWidth="1"/>
    <col min="15" max="15" width="18.54296875" customWidth="1"/>
    <col min="16" max="16" width="16.453125" bestFit="1" customWidth="1"/>
    <col min="17" max="19" width="10.36328125" customWidth="1"/>
    <col min="20" max="20" width="9.36328125" bestFit="1" customWidth="1"/>
    <col min="21" max="21" width="10.7265625" bestFit="1" customWidth="1"/>
  </cols>
  <sheetData>
    <row r="3" spans="1:21" s="2" customFormat="1" x14ac:dyDescent="0.35">
      <c r="A3" s="29" t="s">
        <v>28</v>
      </c>
      <c r="B3" s="29" t="s">
        <v>27</v>
      </c>
      <c r="C3"/>
      <c r="D3"/>
      <c r="E3"/>
      <c r="F3"/>
      <c r="G3"/>
      <c r="J3" s="29" t="s">
        <v>25</v>
      </c>
      <c r="K3" t="s">
        <v>30</v>
      </c>
      <c r="L3" t="s">
        <v>29</v>
      </c>
      <c r="M3" s="31" t="s">
        <v>31</v>
      </c>
      <c r="O3" s="29" t="s">
        <v>32</v>
      </c>
      <c r="P3" s="29" t="s">
        <v>27</v>
      </c>
      <c r="Q3"/>
      <c r="R3"/>
      <c r="S3"/>
      <c r="T3"/>
      <c r="U3"/>
    </row>
    <row r="4" spans="1:21" x14ac:dyDescent="0.35">
      <c r="A4" s="29" t="s">
        <v>25</v>
      </c>
      <c r="B4" t="s">
        <v>3</v>
      </c>
      <c r="C4" t="s">
        <v>1</v>
      </c>
      <c r="D4" t="s">
        <v>4</v>
      </c>
      <c r="E4" t="s">
        <v>2</v>
      </c>
      <c r="F4" t="s">
        <v>0</v>
      </c>
      <c r="G4" t="s">
        <v>26</v>
      </c>
      <c r="J4" s="30" t="s">
        <v>3</v>
      </c>
      <c r="K4" s="32">
        <v>362283283</v>
      </c>
      <c r="L4" s="32">
        <v>490793297</v>
      </c>
      <c r="M4" s="31">
        <v>1.3547224507182132</v>
      </c>
      <c r="O4" s="29" t="s">
        <v>25</v>
      </c>
      <c r="P4" t="s">
        <v>8</v>
      </c>
      <c r="Q4" t="s">
        <v>12</v>
      </c>
      <c r="R4" t="s">
        <v>10</v>
      </c>
      <c r="S4" t="s">
        <v>9</v>
      </c>
      <c r="T4" t="s">
        <v>19</v>
      </c>
      <c r="U4" t="s">
        <v>26</v>
      </c>
    </row>
    <row r="5" spans="1:21" x14ac:dyDescent="0.35">
      <c r="A5" s="30">
        <v>2020</v>
      </c>
      <c r="B5" s="32">
        <v>-82761916</v>
      </c>
      <c r="C5" s="32">
        <v>42892167</v>
      </c>
      <c r="D5" s="32">
        <v>-36428688</v>
      </c>
      <c r="E5" s="32">
        <v>-79163970</v>
      </c>
      <c r="F5" s="32">
        <v>-24834666</v>
      </c>
      <c r="G5" s="32">
        <v>-180297073</v>
      </c>
      <c r="J5" s="30" t="s">
        <v>1</v>
      </c>
      <c r="K5" s="32">
        <v>381992101</v>
      </c>
      <c r="L5" s="32">
        <v>346316209</v>
      </c>
      <c r="M5" s="31">
        <v>0.90660568135674613</v>
      </c>
      <c r="O5" s="30" t="s">
        <v>3</v>
      </c>
      <c r="P5">
        <v>31057087</v>
      </c>
      <c r="Q5">
        <v>24528319</v>
      </c>
      <c r="R5">
        <v>28867835</v>
      </c>
      <c r="S5">
        <v>25143921</v>
      </c>
      <c r="T5">
        <v>25385583</v>
      </c>
      <c r="U5">
        <v>134982745</v>
      </c>
    </row>
    <row r="6" spans="1:21" x14ac:dyDescent="0.35">
      <c r="A6" s="30">
        <v>2021</v>
      </c>
      <c r="B6" s="32">
        <v>-96152503</v>
      </c>
      <c r="C6" s="32">
        <v>-91800009</v>
      </c>
      <c r="D6" s="32">
        <v>-26998930</v>
      </c>
      <c r="E6" s="32">
        <v>62044741</v>
      </c>
      <c r="F6" s="32">
        <v>-65820796</v>
      </c>
      <c r="G6" s="32">
        <v>-218727497</v>
      </c>
      <c r="J6" s="30" t="s">
        <v>4</v>
      </c>
      <c r="K6" s="32">
        <v>430822477</v>
      </c>
      <c r="L6" s="32">
        <v>526369864</v>
      </c>
      <c r="M6" s="31">
        <v>1.2217790205964578</v>
      </c>
      <c r="O6" s="30" t="s">
        <v>1</v>
      </c>
      <c r="P6">
        <v>14011660</v>
      </c>
      <c r="Q6">
        <v>20163898</v>
      </c>
      <c r="R6">
        <v>17038287</v>
      </c>
      <c r="S6">
        <v>20991712</v>
      </c>
      <c r="T6">
        <v>13772952</v>
      </c>
      <c r="U6">
        <v>85978509</v>
      </c>
    </row>
    <row r="7" spans="1:21" x14ac:dyDescent="0.35">
      <c r="A7" s="30">
        <v>2022</v>
      </c>
      <c r="B7" s="32">
        <v>16000677</v>
      </c>
      <c r="C7" s="32">
        <v>53622847</v>
      </c>
      <c r="D7" s="32">
        <v>-27043352</v>
      </c>
      <c r="E7" s="32">
        <v>-27397417</v>
      </c>
      <c r="F7" s="32">
        <v>-40590090</v>
      </c>
      <c r="G7" s="32">
        <v>-25407335</v>
      </c>
      <c r="J7" s="30" t="s">
        <v>2</v>
      </c>
      <c r="K7" s="32">
        <v>479523258</v>
      </c>
      <c r="L7" s="32">
        <v>499272293</v>
      </c>
      <c r="M7" s="31">
        <v>1.0411847281034281</v>
      </c>
      <c r="O7" s="30" t="s">
        <v>4</v>
      </c>
      <c r="P7">
        <v>15050390</v>
      </c>
      <c r="Q7">
        <v>14754233</v>
      </c>
      <c r="R7">
        <v>17151750</v>
      </c>
      <c r="S7">
        <v>19869583</v>
      </c>
      <c r="T7">
        <v>16301886</v>
      </c>
      <c r="U7">
        <v>83127842</v>
      </c>
    </row>
    <row r="8" spans="1:21" x14ac:dyDescent="0.35">
      <c r="A8" s="30">
        <v>2023</v>
      </c>
      <c r="B8" s="32">
        <v>34403728</v>
      </c>
      <c r="C8" s="32">
        <v>30960887</v>
      </c>
      <c r="D8" s="32">
        <v>-5076417</v>
      </c>
      <c r="E8" s="32">
        <v>24767611</v>
      </c>
      <c r="F8" s="32">
        <v>-32835528</v>
      </c>
      <c r="G8" s="32">
        <v>52220281</v>
      </c>
      <c r="J8" s="30" t="s">
        <v>0</v>
      </c>
      <c r="K8" s="32">
        <v>340485235</v>
      </c>
      <c r="L8" s="32">
        <v>504566315</v>
      </c>
      <c r="M8" s="31">
        <v>1.4819036572907487</v>
      </c>
      <c r="O8" s="30" t="s">
        <v>2</v>
      </c>
      <c r="P8">
        <v>17560422</v>
      </c>
      <c r="Q8">
        <v>21374361</v>
      </c>
      <c r="R8">
        <v>23118608</v>
      </c>
      <c r="S8">
        <v>22173552</v>
      </c>
      <c r="T8">
        <v>21385847</v>
      </c>
      <c r="U8">
        <v>105612790</v>
      </c>
    </row>
    <row r="9" spans="1:21" x14ac:dyDescent="0.35">
      <c r="A9" s="30" t="s">
        <v>26</v>
      </c>
      <c r="B9" s="32">
        <v>-128510014</v>
      </c>
      <c r="C9" s="32">
        <v>35675892</v>
      </c>
      <c r="D9" s="32">
        <v>-95547387</v>
      </c>
      <c r="E9" s="32">
        <v>-19749035</v>
      </c>
      <c r="F9" s="32">
        <v>-164081080</v>
      </c>
      <c r="G9" s="32">
        <v>-372211624</v>
      </c>
      <c r="J9" s="30" t="s">
        <v>26</v>
      </c>
      <c r="K9" s="32">
        <v>1995106354</v>
      </c>
      <c r="L9" s="32">
        <v>2367317978</v>
      </c>
      <c r="M9" s="31">
        <v>1.1865622969190344</v>
      </c>
      <c r="O9" s="30" t="s">
        <v>0</v>
      </c>
      <c r="P9">
        <v>18898056</v>
      </c>
      <c r="Q9">
        <v>20435872</v>
      </c>
      <c r="R9">
        <v>21317155</v>
      </c>
      <c r="S9">
        <v>20068803</v>
      </c>
      <c r="T9">
        <v>16921748</v>
      </c>
      <c r="U9">
        <v>97641634</v>
      </c>
    </row>
    <row r="10" spans="1:21" x14ac:dyDescent="0.35">
      <c r="O10" s="30" t="s">
        <v>26</v>
      </c>
      <c r="P10">
        <v>96577615</v>
      </c>
      <c r="Q10">
        <v>101256683</v>
      </c>
      <c r="R10">
        <v>107493635</v>
      </c>
      <c r="S10">
        <v>108247571</v>
      </c>
      <c r="T10">
        <v>93768016</v>
      </c>
      <c r="U10">
        <v>507343520</v>
      </c>
    </row>
    <row r="84" spans="1:5" x14ac:dyDescent="0.35">
      <c r="A84" s="1"/>
      <c r="B84" s="1"/>
      <c r="C84" s="1"/>
      <c r="D84" s="1"/>
      <c r="E84" s="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98BD01AB-9A51-4901-8E45-459562CBC374}">
  <ds:schemaRefs/>
</ds:datastoreItem>
</file>

<file path=customXml/itemProps2.xml><?xml version="1.0" encoding="utf-8"?>
<ds:datastoreItem xmlns:ds="http://schemas.openxmlformats.org/officeDocument/2006/customXml" ds:itemID="{D99EFB29-86ED-4DEA-BB07-AB2BBA67B504}">
  <ds:schemaRefs/>
</ds:datastoreItem>
</file>

<file path=customXml/itemProps3.xml><?xml version="1.0" encoding="utf-8"?>
<ds:datastoreItem xmlns:ds="http://schemas.openxmlformats.org/officeDocument/2006/customXml" ds:itemID="{AEDA47B1-F3DA-4856-8627-3556B122DA8A}">
  <ds:schemaRefs/>
</ds:datastoreItem>
</file>

<file path=customXml/itemProps4.xml><?xml version="1.0" encoding="utf-8"?>
<ds:datastoreItem xmlns:ds="http://schemas.openxmlformats.org/officeDocument/2006/customXml" ds:itemID="{EF47CCA4-B579-44D1-A224-84934832FD4A}">
  <ds:schemaRefs/>
</ds:datastoreItem>
</file>

<file path=customXml/itemProps5.xml><?xml version="1.0" encoding="utf-8"?>
<ds:datastoreItem xmlns:ds="http://schemas.openxmlformats.org/officeDocument/2006/customXml" ds:itemID="{67103216-7E80-407A-9A39-26D52157587B}">
  <ds:schemaRefs/>
</ds:datastoreItem>
</file>

<file path=customXml/itemProps6.xml><?xml version="1.0" encoding="utf-8"?>
<ds:datastoreItem xmlns:ds="http://schemas.openxmlformats.org/officeDocument/2006/customXml" ds:itemID="{D46998C9-A997-44AD-92BA-20BCDA801867}">
  <ds:schemaRefs/>
</ds:datastoreItem>
</file>

<file path=customXml/itemProps7.xml><?xml version="1.0" encoding="utf-8"?>
<ds:datastoreItem xmlns:ds="http://schemas.openxmlformats.org/officeDocument/2006/customXml" ds:itemID="{62858A72-E608-423F-9894-6060FC01B9BF}">
  <ds:schemaRefs/>
</ds:datastoreItem>
</file>

<file path=customXml/itemProps8.xml><?xml version="1.0" encoding="utf-8"?>
<ds:datastoreItem xmlns:ds="http://schemas.openxmlformats.org/officeDocument/2006/customXml" ds:itemID="{C0C78076-48F7-4ACD-B63A-F93EE0385AD8}">
  <ds:schemaRefs/>
</ds:datastoreItem>
</file>

<file path=customXml/itemProps9.xml><?xml version="1.0" encoding="utf-8"?>
<ds:datastoreItem xmlns:ds="http://schemas.openxmlformats.org/officeDocument/2006/customXml" ds:itemID="{D82921D7-DDDA-491D-B588-5B54464876AF}">
  <ds:schemaRefs/>
</ds:datastoreItem>
</file>

<file path=customXml/itemProps10.xml><?xml version="1.0" encoding="utf-8"?>
<ds:datastoreItem xmlns:ds="http://schemas.openxmlformats.org/officeDocument/2006/customXml" ds:itemID="{04DE0440-6C5C-48AE-B5BF-3FE2BAAB6E6A}">
  <ds:schemaRefs/>
</ds:datastoreItem>
</file>

<file path=customXml/itemProps11.xml><?xml version="1.0" encoding="utf-8"?>
<ds:datastoreItem xmlns:ds="http://schemas.openxmlformats.org/officeDocument/2006/customXml" ds:itemID="{5D9EAA7C-44ED-4664-8645-1E109024A7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companies</vt:lpstr>
      <vt:lpstr>financials</vt:lpstr>
      <vt:lpstr>dept_expenses</vt:lpstr>
      <vt:lpstr>departments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 Prasad</dc:creator>
  <cp:lastModifiedBy>Lovely Prasad</cp:lastModifiedBy>
  <dcterms:created xsi:type="dcterms:W3CDTF">2026-01-28T20:32:00Z</dcterms:created>
  <dcterms:modified xsi:type="dcterms:W3CDTF">2026-01-29T12:15:32Z</dcterms:modified>
</cp:coreProperties>
</file>